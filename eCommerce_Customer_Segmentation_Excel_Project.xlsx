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hail\Downloads\"/>
    </mc:Choice>
  </mc:AlternateContent>
  <xr:revisionPtr revIDLastSave="0" documentId="8_{2F57E472-8554-4707-9880-8A7006886B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ustomer_Data" sheetId="1" r:id="rId1"/>
    <sheet name="Segmentation" sheetId="2" r:id="rId2"/>
    <sheet name="Analysis" sheetId="3" r:id="rId3"/>
    <sheet name="Dashboard" sheetId="4" r:id="rId4"/>
    <sheet name="Methodology" sheetId="5" r:id="rId5"/>
    <sheet name="README" sheetId="6" r:id="rId6"/>
  </sheets>
  <definedNames>
    <definedName name="_xlnm._FilterDatabase" localSheetId="0" hidden="1">Customer_Data!$A$1:$J$101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3" l="1"/>
  <c r="B27" i="3"/>
  <c r="C26" i="3"/>
  <c r="B26" i="3"/>
  <c r="C25" i="3"/>
  <c r="B25" i="3"/>
  <c r="C24" i="3"/>
  <c r="B24" i="3"/>
  <c r="C23" i="3"/>
  <c r="B23" i="3"/>
  <c r="B9" i="3"/>
  <c r="B8" i="3"/>
  <c r="B7" i="3"/>
  <c r="G5" i="4" s="1"/>
  <c r="B6" i="3"/>
  <c r="B5" i="3"/>
  <c r="D5" i="4" s="1"/>
  <c r="B4" i="3"/>
  <c r="A5" i="4" s="1"/>
  <c r="P101" i="2"/>
  <c r="O101" i="2"/>
  <c r="N101" i="2"/>
  <c r="M101" i="2"/>
  <c r="L101" i="2"/>
  <c r="K101" i="2"/>
  <c r="N100" i="2"/>
  <c r="M100" i="2"/>
  <c r="L100" i="2"/>
  <c r="K100" i="2"/>
  <c r="N99" i="2"/>
  <c r="M99" i="2"/>
  <c r="L99" i="2"/>
  <c r="P99" i="2" s="1"/>
  <c r="K99" i="2"/>
  <c r="N98" i="2"/>
  <c r="M98" i="2"/>
  <c r="L98" i="2"/>
  <c r="K98" i="2"/>
  <c r="N97" i="2"/>
  <c r="M97" i="2"/>
  <c r="L97" i="2"/>
  <c r="O97" i="2" s="1"/>
  <c r="K97" i="2"/>
  <c r="P97" i="2" s="1"/>
  <c r="N96" i="2"/>
  <c r="M96" i="2"/>
  <c r="L96" i="2"/>
  <c r="K96" i="2"/>
  <c r="P95" i="2"/>
  <c r="N95" i="2"/>
  <c r="M95" i="2"/>
  <c r="L95" i="2"/>
  <c r="K95" i="2"/>
  <c r="O95" i="2" s="1"/>
  <c r="N94" i="2"/>
  <c r="M94" i="2"/>
  <c r="L94" i="2"/>
  <c r="K94" i="2"/>
  <c r="N93" i="2"/>
  <c r="M93" i="2"/>
  <c r="L93" i="2"/>
  <c r="P93" i="2" s="1"/>
  <c r="K93" i="2"/>
  <c r="O93" i="2" s="1"/>
  <c r="N92" i="2"/>
  <c r="M92" i="2"/>
  <c r="L92" i="2"/>
  <c r="K92" i="2"/>
  <c r="P91" i="2"/>
  <c r="N91" i="2"/>
  <c r="M91" i="2"/>
  <c r="L91" i="2"/>
  <c r="K91" i="2"/>
  <c r="O91" i="2" s="1"/>
  <c r="N90" i="2"/>
  <c r="M90" i="2"/>
  <c r="L90" i="2"/>
  <c r="K90" i="2"/>
  <c r="N89" i="2"/>
  <c r="M89" i="2"/>
  <c r="L89" i="2"/>
  <c r="P89" i="2" s="1"/>
  <c r="K89" i="2"/>
  <c r="N88" i="2"/>
  <c r="M88" i="2"/>
  <c r="L88" i="2"/>
  <c r="K88" i="2"/>
  <c r="N87" i="2"/>
  <c r="M87" i="2"/>
  <c r="L87" i="2"/>
  <c r="P87" i="2" s="1"/>
  <c r="K87" i="2"/>
  <c r="N86" i="2"/>
  <c r="M86" i="2"/>
  <c r="L86" i="2"/>
  <c r="K86" i="2"/>
  <c r="P85" i="2"/>
  <c r="N85" i="2"/>
  <c r="M85" i="2"/>
  <c r="L85" i="2"/>
  <c r="O85" i="2" s="1"/>
  <c r="K85" i="2"/>
  <c r="N84" i="2"/>
  <c r="M84" i="2"/>
  <c r="L84" i="2"/>
  <c r="K84" i="2"/>
  <c r="N83" i="2"/>
  <c r="M83" i="2"/>
  <c r="L83" i="2"/>
  <c r="P83" i="2" s="1"/>
  <c r="K83" i="2"/>
  <c r="O83" i="2" s="1"/>
  <c r="N82" i="2"/>
  <c r="M82" i="2"/>
  <c r="L82" i="2"/>
  <c r="K82" i="2"/>
  <c r="N81" i="2"/>
  <c r="M81" i="2"/>
  <c r="L81" i="2"/>
  <c r="P81" i="2" s="1"/>
  <c r="K81" i="2"/>
  <c r="O81" i="2" s="1"/>
  <c r="N80" i="2"/>
  <c r="M80" i="2"/>
  <c r="L80" i="2"/>
  <c r="K80" i="2"/>
  <c r="P79" i="2"/>
  <c r="N79" i="2"/>
  <c r="M79" i="2"/>
  <c r="L79" i="2"/>
  <c r="K79" i="2"/>
  <c r="O79" i="2" s="1"/>
  <c r="N78" i="2"/>
  <c r="M78" i="2"/>
  <c r="L78" i="2"/>
  <c r="K78" i="2"/>
  <c r="N77" i="2"/>
  <c r="M77" i="2"/>
  <c r="L77" i="2"/>
  <c r="P77" i="2" s="1"/>
  <c r="K77" i="2"/>
  <c r="N76" i="2"/>
  <c r="M76" i="2"/>
  <c r="L76" i="2"/>
  <c r="K76" i="2"/>
  <c r="N75" i="2"/>
  <c r="M75" i="2"/>
  <c r="L75" i="2"/>
  <c r="P75" i="2" s="1"/>
  <c r="K75" i="2"/>
  <c r="N74" i="2"/>
  <c r="M74" i="2"/>
  <c r="L74" i="2"/>
  <c r="K74" i="2"/>
  <c r="P73" i="2"/>
  <c r="N73" i="2"/>
  <c r="M73" i="2"/>
  <c r="L73" i="2"/>
  <c r="O73" i="2" s="1"/>
  <c r="K73" i="2"/>
  <c r="N72" i="2"/>
  <c r="M72" i="2"/>
  <c r="L72" i="2"/>
  <c r="K72" i="2"/>
  <c r="N71" i="2"/>
  <c r="M71" i="2"/>
  <c r="L71" i="2"/>
  <c r="P71" i="2" s="1"/>
  <c r="K71" i="2"/>
  <c r="O71" i="2" s="1"/>
  <c r="N70" i="2"/>
  <c r="M70" i="2"/>
  <c r="L70" i="2"/>
  <c r="K70" i="2"/>
  <c r="N69" i="2"/>
  <c r="M69" i="2"/>
  <c r="L69" i="2"/>
  <c r="P69" i="2" s="1"/>
  <c r="K69" i="2"/>
  <c r="O69" i="2" s="1"/>
  <c r="N68" i="2"/>
  <c r="M68" i="2"/>
  <c r="L68" i="2"/>
  <c r="K68" i="2"/>
  <c r="P67" i="2"/>
  <c r="N67" i="2"/>
  <c r="M67" i="2"/>
  <c r="L67" i="2"/>
  <c r="K67" i="2"/>
  <c r="O67" i="2" s="1"/>
  <c r="N66" i="2"/>
  <c r="M66" i="2"/>
  <c r="L66" i="2"/>
  <c r="K66" i="2"/>
  <c r="N65" i="2"/>
  <c r="M65" i="2"/>
  <c r="L65" i="2"/>
  <c r="P65" i="2" s="1"/>
  <c r="K65" i="2"/>
  <c r="N64" i="2"/>
  <c r="M64" i="2"/>
  <c r="L64" i="2"/>
  <c r="K64" i="2"/>
  <c r="N63" i="2"/>
  <c r="M63" i="2"/>
  <c r="L63" i="2"/>
  <c r="P63" i="2" s="1"/>
  <c r="K63" i="2"/>
  <c r="N62" i="2"/>
  <c r="M62" i="2"/>
  <c r="L62" i="2"/>
  <c r="K62" i="2"/>
  <c r="P61" i="2"/>
  <c r="N61" i="2"/>
  <c r="M61" i="2"/>
  <c r="L61" i="2"/>
  <c r="O61" i="2" s="1"/>
  <c r="K61" i="2"/>
  <c r="N60" i="2"/>
  <c r="M60" i="2"/>
  <c r="L60" i="2"/>
  <c r="K60" i="2"/>
  <c r="N59" i="2"/>
  <c r="M59" i="2"/>
  <c r="L59" i="2"/>
  <c r="P59" i="2" s="1"/>
  <c r="K59" i="2"/>
  <c r="O59" i="2" s="1"/>
  <c r="N58" i="2"/>
  <c r="M58" i="2"/>
  <c r="L58" i="2"/>
  <c r="K58" i="2"/>
  <c r="N57" i="2"/>
  <c r="M57" i="2"/>
  <c r="L57" i="2"/>
  <c r="P57" i="2" s="1"/>
  <c r="K57" i="2"/>
  <c r="O57" i="2" s="1"/>
  <c r="N56" i="2"/>
  <c r="M56" i="2"/>
  <c r="L56" i="2"/>
  <c r="K56" i="2"/>
  <c r="P55" i="2"/>
  <c r="N55" i="2"/>
  <c r="M55" i="2"/>
  <c r="L55" i="2"/>
  <c r="K55" i="2"/>
  <c r="O55" i="2" s="1"/>
  <c r="N54" i="2"/>
  <c r="M54" i="2"/>
  <c r="L54" i="2"/>
  <c r="K54" i="2"/>
  <c r="N53" i="2"/>
  <c r="M53" i="2"/>
  <c r="L53" i="2"/>
  <c r="P53" i="2" s="1"/>
  <c r="K53" i="2"/>
  <c r="N52" i="2"/>
  <c r="M52" i="2"/>
  <c r="L52" i="2"/>
  <c r="K52" i="2"/>
  <c r="N51" i="2"/>
  <c r="M51" i="2"/>
  <c r="L51" i="2"/>
  <c r="P51" i="2" s="1"/>
  <c r="K51" i="2"/>
  <c r="N50" i="2"/>
  <c r="M50" i="2"/>
  <c r="L50" i="2"/>
  <c r="K50" i="2"/>
  <c r="P49" i="2"/>
  <c r="N49" i="2"/>
  <c r="M49" i="2"/>
  <c r="L49" i="2"/>
  <c r="O49" i="2" s="1"/>
  <c r="K49" i="2"/>
  <c r="N48" i="2"/>
  <c r="M48" i="2"/>
  <c r="L48" i="2"/>
  <c r="K48" i="2"/>
  <c r="N47" i="2"/>
  <c r="M47" i="2"/>
  <c r="L47" i="2"/>
  <c r="P47" i="2" s="1"/>
  <c r="K47" i="2"/>
  <c r="O47" i="2" s="1"/>
  <c r="N46" i="2"/>
  <c r="M46" i="2"/>
  <c r="L46" i="2"/>
  <c r="K46" i="2"/>
  <c r="N45" i="2"/>
  <c r="M45" i="2"/>
  <c r="L45" i="2"/>
  <c r="P45" i="2" s="1"/>
  <c r="K45" i="2"/>
  <c r="O45" i="2" s="1"/>
  <c r="N44" i="2"/>
  <c r="M44" i="2"/>
  <c r="L44" i="2"/>
  <c r="K44" i="2"/>
  <c r="P43" i="2"/>
  <c r="N43" i="2"/>
  <c r="M43" i="2"/>
  <c r="L43" i="2"/>
  <c r="K43" i="2"/>
  <c r="O43" i="2" s="1"/>
  <c r="N42" i="2"/>
  <c r="M42" i="2"/>
  <c r="L42" i="2"/>
  <c r="K42" i="2"/>
  <c r="N41" i="2"/>
  <c r="M41" i="2"/>
  <c r="L41" i="2"/>
  <c r="P41" i="2" s="1"/>
  <c r="K41" i="2"/>
  <c r="N40" i="2"/>
  <c r="M40" i="2"/>
  <c r="L40" i="2"/>
  <c r="K40" i="2"/>
  <c r="N39" i="2"/>
  <c r="M39" i="2"/>
  <c r="L39" i="2"/>
  <c r="K39" i="2"/>
  <c r="P39" i="2" s="1"/>
  <c r="N38" i="2"/>
  <c r="M38" i="2"/>
  <c r="L38" i="2"/>
  <c r="K38" i="2"/>
  <c r="N37" i="2"/>
  <c r="M37" i="2"/>
  <c r="L37" i="2"/>
  <c r="P37" i="2" s="1"/>
  <c r="K37" i="2"/>
  <c r="N36" i="2"/>
  <c r="M36" i="2"/>
  <c r="L36" i="2"/>
  <c r="K36" i="2"/>
  <c r="P36" i="2" s="1"/>
  <c r="N35" i="2"/>
  <c r="M35" i="2"/>
  <c r="L35" i="2"/>
  <c r="K35" i="2"/>
  <c r="P35" i="2" s="1"/>
  <c r="N34" i="2"/>
  <c r="M34" i="2"/>
  <c r="L34" i="2"/>
  <c r="K34" i="2"/>
  <c r="P33" i="2"/>
  <c r="N33" i="2"/>
  <c r="M33" i="2"/>
  <c r="L33" i="2"/>
  <c r="K33" i="2"/>
  <c r="O33" i="2" s="1"/>
  <c r="O32" i="2"/>
  <c r="N32" i="2"/>
  <c r="M32" i="2"/>
  <c r="L32" i="2"/>
  <c r="K32" i="2"/>
  <c r="O31" i="2"/>
  <c r="N31" i="2"/>
  <c r="M31" i="2"/>
  <c r="L31" i="2"/>
  <c r="K31" i="2"/>
  <c r="P31" i="2" s="1"/>
  <c r="O30" i="2"/>
  <c r="N30" i="2"/>
  <c r="M30" i="2"/>
  <c r="L30" i="2"/>
  <c r="K30" i="2"/>
  <c r="N29" i="2"/>
  <c r="M29" i="2"/>
  <c r="L29" i="2"/>
  <c r="P29" i="2" s="1"/>
  <c r="K29" i="2"/>
  <c r="N28" i="2"/>
  <c r="M28" i="2"/>
  <c r="L28" i="2"/>
  <c r="K28" i="2"/>
  <c r="O28" i="2" s="1"/>
  <c r="N27" i="2"/>
  <c r="M27" i="2"/>
  <c r="L27" i="2"/>
  <c r="K27" i="2"/>
  <c r="P27" i="2" s="1"/>
  <c r="N26" i="2"/>
  <c r="M26" i="2"/>
  <c r="L26" i="2"/>
  <c r="O26" i="2" s="1"/>
  <c r="K26" i="2"/>
  <c r="N25" i="2"/>
  <c r="M25" i="2"/>
  <c r="L25" i="2"/>
  <c r="P25" i="2" s="1"/>
  <c r="K25" i="2"/>
  <c r="N24" i="2"/>
  <c r="M24" i="2"/>
  <c r="L24" i="2"/>
  <c r="K24" i="2"/>
  <c r="P24" i="2" s="1"/>
  <c r="N23" i="2"/>
  <c r="M23" i="2"/>
  <c r="L23" i="2"/>
  <c r="K23" i="2"/>
  <c r="P23" i="2" s="1"/>
  <c r="N22" i="2"/>
  <c r="M22" i="2"/>
  <c r="L22" i="2"/>
  <c r="K22" i="2"/>
  <c r="P22" i="2" s="1"/>
  <c r="P21" i="2"/>
  <c r="N21" i="2"/>
  <c r="M21" i="2"/>
  <c r="L21" i="2"/>
  <c r="K21" i="2"/>
  <c r="O21" i="2" s="1"/>
  <c r="O20" i="2"/>
  <c r="N20" i="2"/>
  <c r="M20" i="2"/>
  <c r="L20" i="2"/>
  <c r="K20" i="2"/>
  <c r="P19" i="2"/>
  <c r="O19" i="2"/>
  <c r="N19" i="2"/>
  <c r="M19" i="2"/>
  <c r="L19" i="2"/>
  <c r="K19" i="2"/>
  <c r="N18" i="2"/>
  <c r="M18" i="2"/>
  <c r="L18" i="2"/>
  <c r="K18" i="2"/>
  <c r="O17" i="2"/>
  <c r="N17" i="2"/>
  <c r="M17" i="2"/>
  <c r="L17" i="2"/>
  <c r="P17" i="2" s="1"/>
  <c r="K17" i="2"/>
  <c r="N16" i="2"/>
  <c r="M16" i="2"/>
  <c r="L16" i="2"/>
  <c r="K16" i="2"/>
  <c r="N15" i="2"/>
  <c r="M15" i="2"/>
  <c r="L15" i="2"/>
  <c r="K15" i="2"/>
  <c r="P15" i="2" s="1"/>
  <c r="N14" i="2"/>
  <c r="M14" i="2"/>
  <c r="L14" i="2"/>
  <c r="K14" i="2"/>
  <c r="N13" i="2"/>
  <c r="M13" i="2"/>
  <c r="L13" i="2"/>
  <c r="P13" i="2" s="1"/>
  <c r="K13" i="2"/>
  <c r="N12" i="2"/>
  <c r="M12" i="2"/>
  <c r="L12" i="2"/>
  <c r="K12" i="2"/>
  <c r="P12" i="2" s="1"/>
  <c r="N11" i="2"/>
  <c r="M11" i="2"/>
  <c r="L11" i="2"/>
  <c r="K11" i="2"/>
  <c r="P11" i="2" s="1"/>
  <c r="N10" i="2"/>
  <c r="M10" i="2"/>
  <c r="L10" i="2"/>
  <c r="K10" i="2"/>
  <c r="P9" i="2"/>
  <c r="N9" i="2"/>
  <c r="M9" i="2"/>
  <c r="L9" i="2"/>
  <c r="K9" i="2"/>
  <c r="O9" i="2" s="1"/>
  <c r="O8" i="2"/>
  <c r="N8" i="2"/>
  <c r="M8" i="2"/>
  <c r="L8" i="2"/>
  <c r="K8" i="2"/>
  <c r="O7" i="2"/>
  <c r="N7" i="2"/>
  <c r="M7" i="2"/>
  <c r="L7" i="2"/>
  <c r="K7" i="2"/>
  <c r="P7" i="2" s="1"/>
  <c r="O6" i="2"/>
  <c r="N6" i="2"/>
  <c r="M6" i="2"/>
  <c r="L6" i="2"/>
  <c r="K6" i="2"/>
  <c r="N5" i="2"/>
  <c r="M5" i="2"/>
  <c r="L5" i="2"/>
  <c r="P5" i="2" s="1"/>
  <c r="K5" i="2"/>
  <c r="N4" i="2"/>
  <c r="M4" i="2"/>
  <c r="L4" i="2"/>
  <c r="K4" i="2"/>
  <c r="O4" i="2" s="1"/>
  <c r="N3" i="2"/>
  <c r="M3" i="2"/>
  <c r="L3" i="2"/>
  <c r="K3" i="2"/>
  <c r="P3" i="2" s="1"/>
  <c r="N2" i="2"/>
  <c r="M2" i="2"/>
  <c r="L2" i="2"/>
  <c r="K2" i="2"/>
  <c r="O2" i="2" s="1"/>
  <c r="O41" i="2" l="1"/>
  <c r="P44" i="2"/>
  <c r="O44" i="2"/>
  <c r="O53" i="2"/>
  <c r="P56" i="2"/>
  <c r="O56" i="2"/>
  <c r="O65" i="2"/>
  <c r="P68" i="2"/>
  <c r="O68" i="2"/>
  <c r="O77" i="2"/>
  <c r="P80" i="2"/>
  <c r="O80" i="2"/>
  <c r="O89" i="2"/>
  <c r="P92" i="2"/>
  <c r="O92" i="2"/>
  <c r="O15" i="2"/>
  <c r="P20" i="2"/>
  <c r="O39" i="2"/>
  <c r="O13" i="2"/>
  <c r="P18" i="2"/>
  <c r="O37" i="2"/>
  <c r="P42" i="2"/>
  <c r="O42" i="2"/>
  <c r="O51" i="2"/>
  <c r="P54" i="2"/>
  <c r="O54" i="2"/>
  <c r="O63" i="2"/>
  <c r="P66" i="2"/>
  <c r="O66" i="2"/>
  <c r="O75" i="2"/>
  <c r="P78" i="2"/>
  <c r="O78" i="2"/>
  <c r="O87" i="2"/>
  <c r="P90" i="2"/>
  <c r="O90" i="2"/>
  <c r="O99" i="2"/>
  <c r="O24" i="2"/>
  <c r="O11" i="2"/>
  <c r="P16" i="2"/>
  <c r="O35" i="2"/>
  <c r="P40" i="2"/>
  <c r="P14" i="2"/>
  <c r="O22" i="2"/>
  <c r="P38" i="2"/>
  <c r="P52" i="2"/>
  <c r="O52" i="2"/>
  <c r="P64" i="2"/>
  <c r="O64" i="2"/>
  <c r="P76" i="2"/>
  <c r="O76" i="2"/>
  <c r="P88" i="2"/>
  <c r="O88" i="2"/>
  <c r="P100" i="2"/>
  <c r="O100" i="2"/>
  <c r="O5" i="2"/>
  <c r="P10" i="2"/>
  <c r="O18" i="2"/>
  <c r="O29" i="2"/>
  <c r="P34" i="2"/>
  <c r="P50" i="2"/>
  <c r="O50" i="2"/>
  <c r="P62" i="2"/>
  <c r="O62" i="2"/>
  <c r="P74" i="2"/>
  <c r="O74" i="2"/>
  <c r="P86" i="2"/>
  <c r="O86" i="2"/>
  <c r="P98" i="2"/>
  <c r="O98" i="2"/>
  <c r="O16" i="2"/>
  <c r="O27" i="2"/>
  <c r="P32" i="2"/>
  <c r="O40" i="2"/>
  <c r="O3" i="2"/>
  <c r="P8" i="2"/>
  <c r="P6" i="2"/>
  <c r="O14" i="2"/>
  <c r="O25" i="2"/>
  <c r="P30" i="2"/>
  <c r="O38" i="2"/>
  <c r="P48" i="2"/>
  <c r="O48" i="2"/>
  <c r="P60" i="2"/>
  <c r="O60" i="2"/>
  <c r="P72" i="2"/>
  <c r="O72" i="2"/>
  <c r="P84" i="2"/>
  <c r="O84" i="2"/>
  <c r="P96" i="2"/>
  <c r="O96" i="2"/>
  <c r="P4" i="2"/>
  <c r="O23" i="2"/>
  <c r="P28" i="2"/>
  <c r="O12" i="2"/>
  <c r="O36" i="2"/>
  <c r="P2" i="2"/>
  <c r="O10" i="2"/>
  <c r="P26" i="2"/>
  <c r="O34" i="2"/>
  <c r="P46" i="2"/>
  <c r="O46" i="2"/>
  <c r="P58" i="2"/>
  <c r="O58" i="2"/>
  <c r="P70" i="2"/>
  <c r="O70" i="2"/>
  <c r="P82" i="2"/>
  <c r="O82" i="2"/>
  <c r="P94" i="2"/>
  <c r="O94" i="2"/>
  <c r="F18" i="3" l="1"/>
  <c r="B14" i="3"/>
  <c r="E18" i="3"/>
  <c r="C16" i="3"/>
  <c r="D16" i="3" s="1"/>
  <c r="B16" i="3"/>
  <c r="F17" i="3"/>
  <c r="F14" i="3"/>
  <c r="E17" i="3"/>
  <c r="E14" i="3"/>
  <c r="C17" i="3"/>
  <c r="C14" i="3"/>
  <c r="D14" i="3" s="1"/>
  <c r="B17" i="3"/>
  <c r="F16" i="3"/>
  <c r="E16" i="3"/>
  <c r="F15" i="3"/>
  <c r="E15" i="3"/>
  <c r="C18" i="3"/>
  <c r="C15" i="3"/>
  <c r="B18" i="3"/>
  <c r="B15" i="3"/>
  <c r="D17" i="3" l="1"/>
  <c r="D15" i="3"/>
  <c r="D18" i="3"/>
</calcChain>
</file>

<file path=xl/sharedStrings.xml><?xml version="1.0" encoding="utf-8"?>
<sst xmlns="http://schemas.openxmlformats.org/spreadsheetml/2006/main" count="912" uniqueCount="197">
  <si>
    <t>Customer ID</t>
  </si>
  <si>
    <t>Age</t>
  </si>
  <si>
    <t>Gender</t>
  </si>
  <si>
    <t>Location</t>
  </si>
  <si>
    <t>Preferred Category</t>
  </si>
  <si>
    <t>Orders</t>
  </si>
  <si>
    <t>Average Order Value</t>
  </si>
  <si>
    <t>Total Spend</t>
  </si>
  <si>
    <t>Days Since Last Purchase</t>
  </si>
  <si>
    <t>Website Visits</t>
  </si>
  <si>
    <t>C001</t>
  </si>
  <si>
    <t>Female</t>
  </si>
  <si>
    <t>Pune</t>
  </si>
  <si>
    <t>Beauty</t>
  </si>
  <si>
    <t>C002</t>
  </si>
  <si>
    <t>Mumbai</t>
  </si>
  <si>
    <t>C003</t>
  </si>
  <si>
    <t>Male</t>
  </si>
  <si>
    <t>Grocery</t>
  </si>
  <si>
    <t>C004</t>
  </si>
  <si>
    <t>Delhi</t>
  </si>
  <si>
    <t>Electronics</t>
  </si>
  <si>
    <t>C005</t>
  </si>
  <si>
    <t>Patna</t>
  </si>
  <si>
    <t>Fashion</t>
  </si>
  <si>
    <t>C006</t>
  </si>
  <si>
    <t>C007</t>
  </si>
  <si>
    <t>Bengaluru</t>
  </si>
  <si>
    <t>C008</t>
  </si>
  <si>
    <t>C009</t>
  </si>
  <si>
    <t>C010</t>
  </si>
  <si>
    <t>C011</t>
  </si>
  <si>
    <t>Home</t>
  </si>
  <si>
    <t>C012</t>
  </si>
  <si>
    <t>C013</t>
  </si>
  <si>
    <t>C014</t>
  </si>
  <si>
    <t>C015</t>
  </si>
  <si>
    <t>C016</t>
  </si>
  <si>
    <t>C017</t>
  </si>
  <si>
    <t>C018</t>
  </si>
  <si>
    <t>Hyderabad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</si>
  <si>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</si>
  <si>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</si>
  <si>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</si>
  <si>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</si>
  <si>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</si>
  <si>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</si>
  <si>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</si>
  <si>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</si>
  <si>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</si>
  <si>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</si>
  <si>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</si>
  <si>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</si>
  <si>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</si>
  <si>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</si>
  <si>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</si>
  <si>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</si>
  <si>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</si>
  <si>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</si>
  <si>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</si>
  <si>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</si>
  <si>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</si>
  <si>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</si>
  <si>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</si>
  <si>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</si>
  <si>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</si>
  <si>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</si>
  <si>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</si>
  <si>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</si>
  <si>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</si>
  <si>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</si>
  <si>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</si>
  <si>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</si>
  <si>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</si>
  <si>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</si>
  <si>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</si>
  <si>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</si>
  <si>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</si>
  <si>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</si>
  <si>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</si>
  <si>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</si>
  <si>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</si>
  <si>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</si>
  <si>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</si>
  <si>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</si>
  <si>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</si>
  <si>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</si>
  <si>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</si>
  <si>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</si>
  <si>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</si>
  <si>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</si>
  <si>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</si>
  <si>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</si>
  <si>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</si>
  <si>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</si>
  <si>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</si>
  <si>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</si>
  <si>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</si>
  <si>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</si>
  <si>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</si>
  <si>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</si>
  <si>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</si>
  <si>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</si>
  <si>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</si>
  <si>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</si>
  <si>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</si>
  <si>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</si>
  <si>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</si>
  <si>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</si>
  <si>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</si>
  <si>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</si>
  <si>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</si>
  <si>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</si>
  <si>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</si>
  <si>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</si>
  <si>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</si>
  <si>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</si>
  <si>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</si>
  <si>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</si>
  <si>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</si>
  <si>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</si>
  <si>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</si>
  <si>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</si>
  <si>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Recency Score</t>
  </si>
  <si>
    <t>Frequency Score</t>
  </si>
  <si>
    <t>Monetary Score</t>
  </si>
  <si>
    <t>Engagement Score</t>
  </si>
  <si>
    <t>RFM Score</t>
  </si>
  <si>
    <t>Customer Segment</t>
  </si>
  <si>
    <t>eCommerce Customer Segmentation Analysis</t>
  </si>
  <si>
    <t>KPI</t>
  </si>
  <si>
    <t>Value</t>
  </si>
  <si>
    <t>Total Customers</t>
  </si>
  <si>
    <t>Total Revenue</t>
  </si>
  <si>
    <t>Average Customer Spend</t>
  </si>
  <si>
    <t>Total Orders</t>
  </si>
  <si>
    <t>Average Orders / Customer</t>
  </si>
  <si>
    <t>Average Website Visits</t>
  </si>
  <si>
    <t>Segment Summary</t>
  </si>
  <si>
    <t>Segment</t>
  </si>
  <si>
    <t>Customers</t>
  </si>
  <si>
    <t>Revenue</t>
  </si>
  <si>
    <t>Avg Spend</t>
  </si>
  <si>
    <t>Avg Orders</t>
  </si>
  <si>
    <t>Avg Website Visits</t>
  </si>
  <si>
    <t>VIP</t>
  </si>
  <si>
    <t>Loyal</t>
  </si>
  <si>
    <t>Potential</t>
  </si>
  <si>
    <t>At-Risk</t>
  </si>
  <si>
    <t>Low-Value</t>
  </si>
  <si>
    <t>Revenue by Category</t>
  </si>
  <si>
    <t>Category</t>
  </si>
  <si>
    <t>Example Interpretation / Insights</t>
  </si>
  <si>
    <t>• VIP customers are the highest-value group and should receive loyalty rewards and personalized offers.</t>
  </si>
  <si>
    <t>• At-Risk customers have lower recency scores but can still have meaningful purchase frequency; re-engagement campaigns can help retain them.</t>
  </si>
  <si>
    <t>• Potential customers have relatively recent activity but lower purchase frequency, making them suitable for cross-sell and second-purchase campaigns.</t>
  </si>
  <si>
    <t>• Low-Value customers show weaker purchase and engagement behavior and should be targeted with lower-cost campaigns.</t>
  </si>
  <si>
    <t>• Revenue and customer counts by segment help prioritize marketing budget toward the most valuable and most recoverable groups.</t>
  </si>
  <si>
    <t>eCommerce Customer Segmentation Dashboard</t>
  </si>
  <si>
    <t>Total Customers
= Analysis!B4</t>
  </si>
  <si>
    <t>Total Revenue
= Analysis!B5</t>
  </si>
  <si>
    <t>Total Orders
= Analysis!B7</t>
  </si>
  <si>
    <t>Customer Segmentation Methodology</t>
  </si>
  <si>
    <t>Item</t>
  </si>
  <si>
    <t>Explanation</t>
  </si>
  <si>
    <t>Objective</t>
  </si>
  <si>
    <t>Segment eCommerce customers into meaningful groups and understand their purchasing and digital behavior.</t>
  </si>
  <si>
    <t>Data Type</t>
  </si>
  <si>
    <t>Small simulated dataset of 100 fictional customers created for educational analysis.</t>
  </si>
  <si>
    <t>Segmentation Factors</t>
  </si>
  <si>
    <t>Recency, purchase frequency, monetary value, and website engagement.</t>
  </si>
  <si>
    <t>5 = purchased within 30 days; 4 = 31–60; 3 = 61–90; 2 = 91–120; 1 = over 120 days.</t>
  </si>
  <si>
    <t>5 = 13+ orders; 4 = 10–12; 3 = 7–9; 2 = 4–6; 1 = 1–3.</t>
  </si>
  <si>
    <t>5 = ₹40,000+; 4 = ₹25,000–39,999; 3 = ₹15,000–24,999; 2 = ₹7,500–14,999; 1 = below ₹7,500.</t>
  </si>
  <si>
    <t>Uses the same 1–5 recency-style scale as a simple proxy for digital engagement in this small simulation.</t>
  </si>
  <si>
    <t>High recency, high frequency, and high monetary score.</t>
  </si>
  <si>
    <t>Recent customers with relatively high purchase frequency.</t>
  </si>
  <si>
    <t>Recent customers with lower purchase frequency who may increase their activity.</t>
  </si>
  <si>
    <t>Customers with older purchases but relatively high purchase frequency.</t>
  </si>
  <si>
    <t>Customers who do not meet the stronger criteria for the other segments.</t>
  </si>
  <si>
    <t>Business Use</t>
  </si>
  <si>
    <t>Use segment-level insights to personalize offers, prioritize retention, and allocate marketing budget.</t>
  </si>
  <si>
    <t>Project README</t>
  </si>
  <si>
    <t>Details</t>
  </si>
  <si>
    <t>Project</t>
  </si>
  <si>
    <t>Purpose</t>
  </si>
  <si>
    <t>Analyze simulated customer behavior and divide customers into actionable segments.</t>
  </si>
  <si>
    <t>Tools</t>
  </si>
  <si>
    <t>Microsoft Excel</t>
  </si>
  <si>
    <t>Dataset</t>
  </si>
  <si>
    <t>100 fictional/simulated customers created for this assignment.</t>
  </si>
  <si>
    <t>Main Analysis</t>
  </si>
  <si>
    <t>RFM-style scoring plus purchasing and website engagement behavior.</t>
  </si>
  <si>
    <t>Outputs</t>
  </si>
  <si>
    <t>Customer data, segmentation, KPI analysis, charts/dashboard, methodology, and business recommendations.</t>
  </si>
  <si>
    <t>Important Note</t>
  </si>
  <si>
    <t>Because this is simulated data, the results are illustrative and should not be presented as real company performance.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</si>
</sst>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8"/>
      <color rgb="FF1F4E78"/>
      <name val="Calibri"/>
    </font>
    <font>
      <b/>
      <sz val="15"/>
      <color rgb="FF1F4E78"/>
      <name val="Calibri"/>
    </font>
    <font>
      <b/>
      <sz val="20"/>
      <color rgb="FF1F4E78"/>
      <name val="Calibri"/>
    </font>
    <font>
      <b/>
      <sz val="13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1" fillId="2" borderId="0" xfId="0" applyFont="1" applyFill="1"/>
    <xf numFmtId="165" fontId="0" fillId="0" borderId="0" xfId="0" applyNumberFormat="1"/>
    <xf numFmtId="0" fontId="3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0" fontId="0" fillId="0" borderId="0" xfId="0" applyAlignment="1">
      <alignment vertical="top" wrapText="1"/>
    </xf>
    <xf numFmtId="0" fontId="0" fillId="0" borderId="0" xfId="0"/>
    <xf numFmtId="0" fontId="2" fillId="0" borderId="0" xfId="0" applyFont="1"/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1" fillId="2" borderId="1" xfId="0" applyFont="1" applyFill="1" applyBorder="1" applyAlignment="1">
      <alignment horizontal="center" vertical="center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Customers by Segment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Analysis!$B$13</c:f>
              <c:strCache>
                <c:ptCount val="1"/>
                <c:pt idx="0">
                  <c:v>Customers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Analysis!$A$14:$A$17</c:f>
              <c:strCache>
                <c:ptCount val="4"/>
                <c:pt idx="0">
                  <c:v>VIP</c:v>
                </c:pt>
                <c:pt idx="1">
                  <c:v>Loyal</c:v>
                </c:pt>
                <c:pt idx="2">
                  <c:v>Potential</c:v>
                </c:pt>
                <c:pt idx="3">
                  <c:v>At-Risk</c:v>
                </c:pt>
              </c:strCache>
            </c:strRef>
          </c:cat>
          <c:val>
            <c:numRef>
              <c:f>Analysis!$B$14:$B$17</c:f>
              <c:numCache>
                <c:formatCode>General</c:formatCode>
                <c:ptCount val="4"/>
                <c:pt idx="0">
                  <c:v>11</c:v>
                </c:pt>
                <c:pt idx="1">
                  <c:v>14</c:v>
                </c:pt>
                <c:pt idx="2">
                  <c:v>10</c:v>
                </c:pt>
                <c:pt idx="3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C-4584-BA10-D815E013F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Segment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Customers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by Segment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Analysis!$C$13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Analysis!$A$14:$A$17</c:f>
              <c:strCache>
                <c:ptCount val="4"/>
                <c:pt idx="0">
                  <c:v>VIP</c:v>
                </c:pt>
                <c:pt idx="1">
                  <c:v>Loyal</c:v>
                </c:pt>
                <c:pt idx="2">
                  <c:v>Potential</c:v>
                </c:pt>
                <c:pt idx="3">
                  <c:v>At-Risk</c:v>
                </c:pt>
              </c:strCache>
            </c:strRef>
          </c:cat>
          <c:val>
            <c:numRef>
              <c:f>Analysis!$C$14:$C$17</c:f>
              <c:numCache>
                <c:formatCode>\₹#,##0</c:formatCode>
                <c:ptCount val="4"/>
                <c:pt idx="0">
                  <c:v>466300</c:v>
                </c:pt>
                <c:pt idx="1">
                  <c:v>261159</c:v>
                </c:pt>
                <c:pt idx="2">
                  <c:v>64661</c:v>
                </c:pt>
                <c:pt idx="3">
                  <c:v>689297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38-4760-88AC-55C5073704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Segment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Revenue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Revenue by Product Category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Analysis!$C$22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Analysis!$A$23:$A$26</c:f>
              <c:strCache>
                <c:ptCount val="4"/>
                <c:pt idx="0">
                  <c:v>Electronics</c:v>
                </c:pt>
                <c:pt idx="1">
                  <c:v>Fashion</c:v>
                </c:pt>
                <c:pt idx="2">
                  <c:v>Beauty</c:v>
                </c:pt>
                <c:pt idx="3">
                  <c:v>Home</c:v>
                </c:pt>
              </c:strCache>
            </c:strRef>
          </c:cat>
          <c:val>
            <c:numRef>
              <c:f>Analysis!$C$23:$C$26</c:f>
              <c:numCache>
                <c:formatCode>\₹#,##0</c:formatCode>
                <c:ptCount val="4"/>
                <c:pt idx="0">
                  <c:v>680162</c:v>
                </c:pt>
                <c:pt idx="1">
                  <c:v>546527</c:v>
                </c:pt>
                <c:pt idx="2">
                  <c:v>204018</c:v>
                </c:pt>
                <c:pt idx="3">
                  <c:v>223519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CD-4E89-99A9-39FE70133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t>Revenue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Category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Website Visits vs Total Spend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Customers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Segmentation!$J$2:$J$101</c:f>
              <c:numCache>
                <c:formatCode>General</c:formatCode>
                <c:ptCount val="100"/>
                <c:pt idx="0">
                  <c:v>11</c:v>
                </c:pt>
                <c:pt idx="1">
                  <c:v>18</c:v>
                </c:pt>
                <c:pt idx="2">
                  <c:v>21</c:v>
                </c:pt>
                <c:pt idx="3">
                  <c:v>25</c:v>
                </c:pt>
                <c:pt idx="4">
                  <c:v>6</c:v>
                </c:pt>
                <c:pt idx="5">
                  <c:v>35</c:v>
                </c:pt>
                <c:pt idx="6">
                  <c:v>7</c:v>
                </c:pt>
                <c:pt idx="7">
                  <c:v>3</c:v>
                </c:pt>
                <c:pt idx="8">
                  <c:v>14</c:v>
                </c:pt>
                <c:pt idx="9">
                  <c:v>44</c:v>
                </c:pt>
                <c:pt idx="10">
                  <c:v>44</c:v>
                </c:pt>
                <c:pt idx="11">
                  <c:v>49</c:v>
                </c:pt>
                <c:pt idx="12">
                  <c:v>12</c:v>
                </c:pt>
                <c:pt idx="13">
                  <c:v>48</c:v>
                </c:pt>
                <c:pt idx="14">
                  <c:v>24</c:v>
                </c:pt>
                <c:pt idx="15">
                  <c:v>17</c:v>
                </c:pt>
                <c:pt idx="16">
                  <c:v>32</c:v>
                </c:pt>
                <c:pt idx="17">
                  <c:v>12</c:v>
                </c:pt>
                <c:pt idx="18">
                  <c:v>17</c:v>
                </c:pt>
                <c:pt idx="19">
                  <c:v>9</c:v>
                </c:pt>
                <c:pt idx="20">
                  <c:v>5</c:v>
                </c:pt>
                <c:pt idx="21">
                  <c:v>41</c:v>
                </c:pt>
                <c:pt idx="22">
                  <c:v>5</c:v>
                </c:pt>
                <c:pt idx="23">
                  <c:v>26</c:v>
                </c:pt>
                <c:pt idx="24">
                  <c:v>4</c:v>
                </c:pt>
                <c:pt idx="25">
                  <c:v>33</c:v>
                </c:pt>
                <c:pt idx="26">
                  <c:v>4</c:v>
                </c:pt>
                <c:pt idx="27">
                  <c:v>28</c:v>
                </c:pt>
                <c:pt idx="28">
                  <c:v>30</c:v>
                </c:pt>
                <c:pt idx="29">
                  <c:v>33</c:v>
                </c:pt>
                <c:pt idx="30">
                  <c:v>20</c:v>
                </c:pt>
                <c:pt idx="31">
                  <c:v>22</c:v>
                </c:pt>
                <c:pt idx="32">
                  <c:v>6</c:v>
                </c:pt>
                <c:pt idx="33">
                  <c:v>19</c:v>
                </c:pt>
                <c:pt idx="34">
                  <c:v>29</c:v>
                </c:pt>
                <c:pt idx="35">
                  <c:v>43</c:v>
                </c:pt>
                <c:pt idx="36">
                  <c:v>23</c:v>
                </c:pt>
                <c:pt idx="37">
                  <c:v>22</c:v>
                </c:pt>
                <c:pt idx="38">
                  <c:v>7</c:v>
                </c:pt>
                <c:pt idx="39">
                  <c:v>2</c:v>
                </c:pt>
                <c:pt idx="40">
                  <c:v>6</c:v>
                </c:pt>
                <c:pt idx="41">
                  <c:v>42</c:v>
                </c:pt>
                <c:pt idx="42">
                  <c:v>13</c:v>
                </c:pt>
                <c:pt idx="43">
                  <c:v>27</c:v>
                </c:pt>
                <c:pt idx="44">
                  <c:v>47</c:v>
                </c:pt>
                <c:pt idx="45">
                  <c:v>35</c:v>
                </c:pt>
                <c:pt idx="46">
                  <c:v>50</c:v>
                </c:pt>
                <c:pt idx="47">
                  <c:v>15</c:v>
                </c:pt>
                <c:pt idx="48">
                  <c:v>27</c:v>
                </c:pt>
                <c:pt idx="49">
                  <c:v>46</c:v>
                </c:pt>
                <c:pt idx="50">
                  <c:v>28</c:v>
                </c:pt>
                <c:pt idx="51">
                  <c:v>10</c:v>
                </c:pt>
                <c:pt idx="52">
                  <c:v>27</c:v>
                </c:pt>
                <c:pt idx="53">
                  <c:v>48</c:v>
                </c:pt>
                <c:pt idx="54">
                  <c:v>23</c:v>
                </c:pt>
                <c:pt idx="55">
                  <c:v>48</c:v>
                </c:pt>
                <c:pt idx="56">
                  <c:v>31</c:v>
                </c:pt>
                <c:pt idx="57">
                  <c:v>44</c:v>
                </c:pt>
                <c:pt idx="58">
                  <c:v>49</c:v>
                </c:pt>
                <c:pt idx="59">
                  <c:v>18</c:v>
                </c:pt>
                <c:pt idx="60">
                  <c:v>27</c:v>
                </c:pt>
                <c:pt idx="61">
                  <c:v>37</c:v>
                </c:pt>
                <c:pt idx="62">
                  <c:v>2</c:v>
                </c:pt>
                <c:pt idx="63">
                  <c:v>9</c:v>
                </c:pt>
                <c:pt idx="64">
                  <c:v>50</c:v>
                </c:pt>
                <c:pt idx="65">
                  <c:v>36</c:v>
                </c:pt>
                <c:pt idx="66">
                  <c:v>16</c:v>
                </c:pt>
                <c:pt idx="67">
                  <c:v>48</c:v>
                </c:pt>
                <c:pt idx="68">
                  <c:v>23</c:v>
                </c:pt>
                <c:pt idx="69">
                  <c:v>15</c:v>
                </c:pt>
                <c:pt idx="70">
                  <c:v>27</c:v>
                </c:pt>
                <c:pt idx="71">
                  <c:v>29</c:v>
                </c:pt>
                <c:pt idx="72">
                  <c:v>24</c:v>
                </c:pt>
                <c:pt idx="73">
                  <c:v>15</c:v>
                </c:pt>
                <c:pt idx="74">
                  <c:v>25</c:v>
                </c:pt>
                <c:pt idx="75">
                  <c:v>3</c:v>
                </c:pt>
                <c:pt idx="76">
                  <c:v>46</c:v>
                </c:pt>
                <c:pt idx="77">
                  <c:v>27</c:v>
                </c:pt>
                <c:pt idx="78">
                  <c:v>15</c:v>
                </c:pt>
                <c:pt idx="79">
                  <c:v>8</c:v>
                </c:pt>
                <c:pt idx="80">
                  <c:v>4</c:v>
                </c:pt>
                <c:pt idx="81">
                  <c:v>48</c:v>
                </c:pt>
                <c:pt idx="82">
                  <c:v>24</c:v>
                </c:pt>
                <c:pt idx="83">
                  <c:v>47</c:v>
                </c:pt>
                <c:pt idx="84">
                  <c:v>44</c:v>
                </c:pt>
                <c:pt idx="85">
                  <c:v>48</c:v>
                </c:pt>
                <c:pt idx="86">
                  <c:v>46</c:v>
                </c:pt>
                <c:pt idx="87">
                  <c:v>19</c:v>
                </c:pt>
                <c:pt idx="88">
                  <c:v>39</c:v>
                </c:pt>
                <c:pt idx="89">
                  <c:v>36</c:v>
                </c:pt>
                <c:pt idx="90">
                  <c:v>16</c:v>
                </c:pt>
                <c:pt idx="91">
                  <c:v>26</c:v>
                </c:pt>
                <c:pt idx="92">
                  <c:v>38</c:v>
                </c:pt>
                <c:pt idx="93">
                  <c:v>29</c:v>
                </c:pt>
                <c:pt idx="94">
                  <c:v>11</c:v>
                </c:pt>
                <c:pt idx="95">
                  <c:v>40</c:v>
                </c:pt>
                <c:pt idx="96">
                  <c:v>18</c:v>
                </c:pt>
                <c:pt idx="97">
                  <c:v>40</c:v>
                </c:pt>
                <c:pt idx="98">
                  <c:v>23</c:v>
                </c:pt>
                <c:pt idx="99">
                  <c:v>27</c:v>
                </c:pt>
              </c:numCache>
            </c:numRef>
          </c:xVal>
          <c:yVal>
            <c:numRef>
              <c:f>Segmentation!$H$2:$H$101</c:f>
              <c:numCache>
                <c:formatCode>\₹#,##0</c:formatCode>
                <c:ptCount val="100"/>
                <c:pt idx="0">
                  <c:v>16440</c:v>
                </c:pt>
                <c:pt idx="1">
                  <c:v>5042</c:v>
                </c:pt>
                <c:pt idx="2">
                  <c:v>15224</c:v>
                </c:pt>
                <c:pt idx="3">
                  <c:v>26700</c:v>
                </c:pt>
                <c:pt idx="4">
                  <c:v>40820</c:v>
                </c:pt>
                <c:pt idx="5">
                  <c:v>20570</c:v>
                </c:pt>
                <c:pt idx="6">
                  <c:v>1629</c:v>
                </c:pt>
                <c:pt idx="7">
                  <c:v>41220</c:v>
                </c:pt>
                <c:pt idx="8">
                  <c:v>865</c:v>
                </c:pt>
                <c:pt idx="9">
                  <c:v>14216</c:v>
                </c:pt>
                <c:pt idx="10">
                  <c:v>21500</c:v>
                </c:pt>
                <c:pt idx="11">
                  <c:v>55926</c:v>
                </c:pt>
                <c:pt idx="12">
                  <c:v>11176</c:v>
                </c:pt>
                <c:pt idx="13">
                  <c:v>24216</c:v>
                </c:pt>
                <c:pt idx="14">
                  <c:v>16058</c:v>
                </c:pt>
                <c:pt idx="15">
                  <c:v>3346</c:v>
                </c:pt>
                <c:pt idx="16">
                  <c:v>1815</c:v>
                </c:pt>
                <c:pt idx="17">
                  <c:v>38280</c:v>
                </c:pt>
                <c:pt idx="18">
                  <c:v>38599</c:v>
                </c:pt>
                <c:pt idx="19">
                  <c:v>14664</c:v>
                </c:pt>
                <c:pt idx="20">
                  <c:v>29264</c:v>
                </c:pt>
                <c:pt idx="21">
                  <c:v>10380</c:v>
                </c:pt>
                <c:pt idx="22">
                  <c:v>4956</c:v>
                </c:pt>
                <c:pt idx="23">
                  <c:v>2190</c:v>
                </c:pt>
                <c:pt idx="24">
                  <c:v>32376</c:v>
                </c:pt>
                <c:pt idx="25">
                  <c:v>2266</c:v>
                </c:pt>
                <c:pt idx="26">
                  <c:v>4051</c:v>
                </c:pt>
                <c:pt idx="27">
                  <c:v>24752</c:v>
                </c:pt>
                <c:pt idx="28">
                  <c:v>2904</c:v>
                </c:pt>
                <c:pt idx="29">
                  <c:v>11792</c:v>
                </c:pt>
                <c:pt idx="30">
                  <c:v>17730</c:v>
                </c:pt>
                <c:pt idx="31">
                  <c:v>35676</c:v>
                </c:pt>
                <c:pt idx="32">
                  <c:v>2712</c:v>
                </c:pt>
                <c:pt idx="33">
                  <c:v>836</c:v>
                </c:pt>
                <c:pt idx="34">
                  <c:v>3304</c:v>
                </c:pt>
                <c:pt idx="35">
                  <c:v>6328</c:v>
                </c:pt>
                <c:pt idx="36">
                  <c:v>37870</c:v>
                </c:pt>
                <c:pt idx="37">
                  <c:v>36575</c:v>
                </c:pt>
                <c:pt idx="38">
                  <c:v>9900</c:v>
                </c:pt>
                <c:pt idx="39">
                  <c:v>10907</c:v>
                </c:pt>
                <c:pt idx="40">
                  <c:v>57811</c:v>
                </c:pt>
                <c:pt idx="41">
                  <c:v>23964</c:v>
                </c:pt>
                <c:pt idx="42">
                  <c:v>29745</c:v>
                </c:pt>
                <c:pt idx="43">
                  <c:v>52514</c:v>
                </c:pt>
                <c:pt idx="44">
                  <c:v>8578</c:v>
                </c:pt>
                <c:pt idx="45">
                  <c:v>57772</c:v>
                </c:pt>
                <c:pt idx="46">
                  <c:v>10542</c:v>
                </c:pt>
                <c:pt idx="47">
                  <c:v>4010</c:v>
                </c:pt>
                <c:pt idx="48">
                  <c:v>2502</c:v>
                </c:pt>
                <c:pt idx="49">
                  <c:v>25263</c:v>
                </c:pt>
                <c:pt idx="50">
                  <c:v>2734</c:v>
                </c:pt>
                <c:pt idx="51">
                  <c:v>21970</c:v>
                </c:pt>
                <c:pt idx="52">
                  <c:v>33000</c:v>
                </c:pt>
                <c:pt idx="53">
                  <c:v>12285</c:v>
                </c:pt>
                <c:pt idx="54">
                  <c:v>24710</c:v>
                </c:pt>
                <c:pt idx="55">
                  <c:v>5450</c:v>
                </c:pt>
                <c:pt idx="56">
                  <c:v>23750</c:v>
                </c:pt>
                <c:pt idx="57">
                  <c:v>10150</c:v>
                </c:pt>
                <c:pt idx="58">
                  <c:v>1950</c:v>
                </c:pt>
                <c:pt idx="59">
                  <c:v>2910</c:v>
                </c:pt>
                <c:pt idx="60">
                  <c:v>27873</c:v>
                </c:pt>
                <c:pt idx="61">
                  <c:v>24388</c:v>
                </c:pt>
                <c:pt idx="62">
                  <c:v>11332</c:v>
                </c:pt>
                <c:pt idx="63">
                  <c:v>43490</c:v>
                </c:pt>
                <c:pt idx="64">
                  <c:v>9995</c:v>
                </c:pt>
                <c:pt idx="65">
                  <c:v>3286</c:v>
                </c:pt>
                <c:pt idx="66">
                  <c:v>51662</c:v>
                </c:pt>
                <c:pt idx="67">
                  <c:v>15334</c:v>
                </c:pt>
                <c:pt idx="68">
                  <c:v>56589</c:v>
                </c:pt>
                <c:pt idx="69">
                  <c:v>4392</c:v>
                </c:pt>
                <c:pt idx="70">
                  <c:v>17520</c:v>
                </c:pt>
                <c:pt idx="71">
                  <c:v>6057</c:v>
                </c:pt>
                <c:pt idx="72">
                  <c:v>20325</c:v>
                </c:pt>
                <c:pt idx="73">
                  <c:v>33943</c:v>
                </c:pt>
                <c:pt idx="74">
                  <c:v>40248</c:v>
                </c:pt>
                <c:pt idx="75">
                  <c:v>3180</c:v>
                </c:pt>
                <c:pt idx="76">
                  <c:v>27150</c:v>
                </c:pt>
                <c:pt idx="77">
                  <c:v>21885</c:v>
                </c:pt>
                <c:pt idx="78">
                  <c:v>23328</c:v>
                </c:pt>
                <c:pt idx="79">
                  <c:v>24144</c:v>
                </c:pt>
                <c:pt idx="80">
                  <c:v>9849</c:v>
                </c:pt>
                <c:pt idx="81">
                  <c:v>2318</c:v>
                </c:pt>
                <c:pt idx="82">
                  <c:v>9030</c:v>
                </c:pt>
                <c:pt idx="83">
                  <c:v>11348</c:v>
                </c:pt>
                <c:pt idx="84">
                  <c:v>8210</c:v>
                </c:pt>
                <c:pt idx="85">
                  <c:v>682</c:v>
                </c:pt>
                <c:pt idx="86">
                  <c:v>11368</c:v>
                </c:pt>
                <c:pt idx="87">
                  <c:v>34416</c:v>
                </c:pt>
                <c:pt idx="88">
                  <c:v>28427</c:v>
                </c:pt>
                <c:pt idx="89">
                  <c:v>32522</c:v>
                </c:pt>
                <c:pt idx="90">
                  <c:v>14905</c:v>
                </c:pt>
                <c:pt idx="91">
                  <c:v>19320</c:v>
                </c:pt>
                <c:pt idx="92">
                  <c:v>1252</c:v>
                </c:pt>
                <c:pt idx="93">
                  <c:v>16485</c:v>
                </c:pt>
                <c:pt idx="94">
                  <c:v>24869</c:v>
                </c:pt>
                <c:pt idx="95">
                  <c:v>19845</c:v>
                </c:pt>
                <c:pt idx="96">
                  <c:v>7299</c:v>
                </c:pt>
                <c:pt idx="97">
                  <c:v>13194</c:v>
                </c:pt>
                <c:pt idx="98">
                  <c:v>40005</c:v>
                </c:pt>
                <c:pt idx="99">
                  <c:v>46102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7FA-41AE-9956-0728277B17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1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Website Visits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Total Spend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6</xdr:row>
      <xdr:rowOff>0</xdr:rowOff>
    </xdr:from>
    <xdr:ext cx="432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0</xdr:col>
      <xdr:colOff>0</xdr:colOff>
      <xdr:row>21</xdr:row>
      <xdr:rowOff>0</xdr:rowOff>
    </xdr:from>
    <xdr:ext cx="4320000" cy="25200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7</xdr:col>
      <xdr:colOff>0</xdr:colOff>
      <xdr:row>21</xdr:row>
      <xdr:rowOff>0</xdr:rowOff>
    </xdr:from>
    <xdr:ext cx="4320000" cy="2520000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egmentationTable" displayName="SegmentationTable" ref="A1:P101">
  <autoFilter ref="A1:P101" xr:uid="{00000000-0009-0000-0100-000002000000}"/>
  <tableColumns count="16">
    <tableColumn id="1" xr3:uid="{00000000-0010-0000-0100-000001000000}" name="Customer ID"/>
    <tableColumn id="2" xr3:uid="{00000000-0010-0000-0100-000002000000}" name="Age"/>
    <tableColumn id="3" xr3:uid="{00000000-0010-0000-0100-000003000000}" name="Gender"/>
    <tableColumn id="4" xr3:uid="{00000000-0010-0000-0100-000004000000}" name="Location"/>
    <tableColumn id="5" xr3:uid="{00000000-0010-0000-0100-000005000000}" name="Preferred Category"/>
    <tableColumn id="6" xr3:uid="{00000000-0010-0000-0100-000006000000}" name="Orders"/>
    <tableColumn id="7" xr3:uid="{00000000-0010-0000-0100-000007000000}" name="Average Order Value"/>
    <tableColumn id="8" xr3:uid="{00000000-0010-0000-0100-000008000000}" name="Total Spend"/>
    <tableColumn id="9" xr3:uid="{00000000-0010-0000-0100-000009000000}" name="Days Since Last Purchase"/>
    <tableColumn id="10" xr3:uid="{00000000-0010-0000-0100-00000A000000}" name="Website Visits"/>
    <tableColumn id="11" xr3:uid="{00000000-0010-0000-0100-00000B000000}" name="Recency Score"/>
    <tableColumn id="12" xr3:uid="{00000000-0010-0000-0100-00000C000000}" name="Frequency Score"/>
    <tableColumn id="13" xr3:uid="{00000000-0010-0000-0100-00000D000000}" name="Monetary Score"/>
    <tableColumn id="14" xr3:uid="{00000000-0010-0000-0100-00000E000000}" name="Engagement Score"/>
    <tableColumn id="15" xr3:uid="{00000000-0010-0000-0100-00000F000000}" name="RFM Score"/>
    <tableColumn id="16" xr3:uid="{00000000-0010-0000-0100-000010000000}" name="Customer Segment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pane ySplit="1" topLeftCell="A76" activePane="bottomLeft" state="frozen"/>
      <selection pane="bottomLeft" activeCell="H1" sqref="H1:H1048576"/>
    </sheetView>
  </sheetViews>
  <sheetFormatPr defaultRowHeight="14.4" x14ac:dyDescent="0.3"/>
  <cols>
    <col min="1" max="1" width="15.77734375" bestFit="1" customWidth="1"/>
    <col min="2" max="2" width="8.6640625" bestFit="1" customWidth="1"/>
    <col min="3" max="3" width="11.5546875" bestFit="1" customWidth="1"/>
    <col min="4" max="4" width="12.6640625" bestFit="1" customWidth="1"/>
    <col min="5" max="5" width="21.44140625" bestFit="1" customWidth="1"/>
    <col min="6" max="6" width="11" bestFit="1" customWidth="1"/>
    <col min="7" max="7" width="23" bestFit="1" customWidth="1"/>
    <col min="8" max="8" width="15.44140625" bestFit="1" customWidth="1"/>
    <col min="9" max="9" width="26.5546875" bestFit="1" customWidth="1"/>
    <col min="10" max="10" width="17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56</v>
      </c>
      <c r="C2" t="s">
        <v>11</v>
      </c>
      <c r="D2" t="s">
        <v>12</v>
      </c>
      <c r="E2" t="s">
        <v>13</v>
      </c>
      <c r="F2">
        <v>4</v>
      </c>
      <c r="G2" s="2">
        <v>4110</v>
      </c>
      <c r="H2" s="2">
        <v>16440</v>
      </c>
      <c r="I2">
        <v>147</v>
      </c>
      <c r="J2">
        <v>11</v>
      </c>
    </row>
    <row r="3" spans="1:10" x14ac:dyDescent="0.3">
      <c r="A3" t="s">
        <v>14</v>
      </c>
      <c r="B3">
        <v>46</v>
      </c>
      <c r="C3" t="s">
        <v>11</v>
      </c>
      <c r="D3" t="s">
        <v>15</v>
      </c>
      <c r="E3" t="s">
        <v>13</v>
      </c>
      <c r="F3">
        <v>2</v>
      </c>
      <c r="G3" s="2">
        <v>2521</v>
      </c>
      <c r="H3" s="2">
        <v>5042</v>
      </c>
      <c r="I3">
        <v>163</v>
      </c>
      <c r="J3">
        <v>18</v>
      </c>
    </row>
    <row r="4" spans="1:10" x14ac:dyDescent="0.3">
      <c r="A4" t="s">
        <v>16</v>
      </c>
      <c r="B4">
        <v>32</v>
      </c>
      <c r="C4" t="s">
        <v>17</v>
      </c>
      <c r="D4" t="s">
        <v>15</v>
      </c>
      <c r="E4" t="s">
        <v>18</v>
      </c>
      <c r="F4">
        <v>4</v>
      </c>
      <c r="G4" s="2">
        <v>3806</v>
      </c>
      <c r="H4" s="2">
        <v>15224</v>
      </c>
      <c r="I4">
        <v>159</v>
      </c>
      <c r="J4">
        <v>21</v>
      </c>
    </row>
    <row r="5" spans="1:10" x14ac:dyDescent="0.3">
      <c r="A5" t="s">
        <v>19</v>
      </c>
      <c r="B5">
        <v>60</v>
      </c>
      <c r="C5" t="s">
        <v>17</v>
      </c>
      <c r="D5" t="s">
        <v>20</v>
      </c>
      <c r="E5" t="s">
        <v>21</v>
      </c>
      <c r="F5">
        <v>15</v>
      </c>
      <c r="G5" s="2">
        <v>1780</v>
      </c>
      <c r="H5" s="2">
        <v>26700</v>
      </c>
      <c r="I5">
        <v>143</v>
      </c>
      <c r="J5">
        <v>25</v>
      </c>
    </row>
    <row r="6" spans="1:10" x14ac:dyDescent="0.3">
      <c r="A6" t="s">
        <v>22</v>
      </c>
      <c r="B6">
        <v>25</v>
      </c>
      <c r="C6" t="s">
        <v>17</v>
      </c>
      <c r="D6" t="s">
        <v>23</v>
      </c>
      <c r="E6" t="s">
        <v>24</v>
      </c>
      <c r="F6">
        <v>10</v>
      </c>
      <c r="G6" s="2">
        <v>4082</v>
      </c>
      <c r="H6" s="2">
        <v>40820</v>
      </c>
      <c r="I6">
        <v>48</v>
      </c>
      <c r="J6">
        <v>6</v>
      </c>
    </row>
    <row r="7" spans="1:10" x14ac:dyDescent="0.3">
      <c r="A7" t="s">
        <v>25</v>
      </c>
      <c r="B7">
        <v>38</v>
      </c>
      <c r="C7" t="s">
        <v>17</v>
      </c>
      <c r="D7" t="s">
        <v>20</v>
      </c>
      <c r="E7" t="s">
        <v>21</v>
      </c>
      <c r="F7">
        <v>10</v>
      </c>
      <c r="G7" s="2">
        <v>2057</v>
      </c>
      <c r="H7" s="2">
        <v>20570</v>
      </c>
      <c r="I7">
        <v>37</v>
      </c>
      <c r="J7">
        <v>35</v>
      </c>
    </row>
    <row r="8" spans="1:10" x14ac:dyDescent="0.3">
      <c r="A8" t="s">
        <v>26</v>
      </c>
      <c r="B8">
        <v>56</v>
      </c>
      <c r="C8" t="s">
        <v>11</v>
      </c>
      <c r="D8" t="s">
        <v>27</v>
      </c>
      <c r="E8" t="s">
        <v>24</v>
      </c>
      <c r="F8">
        <v>3</v>
      </c>
      <c r="G8" s="2">
        <v>543</v>
      </c>
      <c r="H8" s="2">
        <v>1629</v>
      </c>
      <c r="I8">
        <v>136</v>
      </c>
      <c r="J8">
        <v>7</v>
      </c>
    </row>
    <row r="9" spans="1:10" x14ac:dyDescent="0.3">
      <c r="A9" t="s">
        <v>28</v>
      </c>
      <c r="B9">
        <v>36</v>
      </c>
      <c r="C9" t="s">
        <v>11</v>
      </c>
      <c r="D9" t="s">
        <v>12</v>
      </c>
      <c r="E9" t="s">
        <v>24</v>
      </c>
      <c r="F9">
        <v>10</v>
      </c>
      <c r="G9" s="2">
        <v>4122</v>
      </c>
      <c r="H9" s="2">
        <v>41220</v>
      </c>
      <c r="I9">
        <v>84</v>
      </c>
      <c r="J9">
        <v>3</v>
      </c>
    </row>
    <row r="10" spans="1:10" x14ac:dyDescent="0.3">
      <c r="A10" t="s">
        <v>29</v>
      </c>
      <c r="B10">
        <v>40</v>
      </c>
      <c r="C10" t="s">
        <v>11</v>
      </c>
      <c r="D10" t="s">
        <v>20</v>
      </c>
      <c r="E10" t="s">
        <v>24</v>
      </c>
      <c r="F10">
        <v>1</v>
      </c>
      <c r="G10" s="2">
        <v>865</v>
      </c>
      <c r="H10" s="2">
        <v>865</v>
      </c>
      <c r="I10">
        <v>117</v>
      </c>
      <c r="J10">
        <v>14</v>
      </c>
    </row>
    <row r="11" spans="1:10" x14ac:dyDescent="0.3">
      <c r="A11" t="s">
        <v>30</v>
      </c>
      <c r="B11">
        <v>28</v>
      </c>
      <c r="C11" t="s">
        <v>17</v>
      </c>
      <c r="D11" t="s">
        <v>15</v>
      </c>
      <c r="E11" t="s">
        <v>24</v>
      </c>
      <c r="F11">
        <v>8</v>
      </c>
      <c r="G11" s="2">
        <v>1777</v>
      </c>
      <c r="H11" s="2">
        <v>14216</v>
      </c>
      <c r="I11">
        <v>49</v>
      </c>
      <c r="J11">
        <v>44</v>
      </c>
    </row>
    <row r="12" spans="1:10" x14ac:dyDescent="0.3">
      <c r="A12" t="s">
        <v>31</v>
      </c>
      <c r="B12">
        <v>28</v>
      </c>
      <c r="C12" t="s">
        <v>17</v>
      </c>
      <c r="D12" t="s">
        <v>12</v>
      </c>
      <c r="E12" t="s">
        <v>32</v>
      </c>
      <c r="F12">
        <v>5</v>
      </c>
      <c r="G12" s="2">
        <v>4300</v>
      </c>
      <c r="H12" s="2">
        <v>21500</v>
      </c>
      <c r="I12">
        <v>155</v>
      </c>
      <c r="J12">
        <v>44</v>
      </c>
    </row>
    <row r="13" spans="1:10" x14ac:dyDescent="0.3">
      <c r="A13" t="s">
        <v>33</v>
      </c>
      <c r="B13">
        <v>41</v>
      </c>
      <c r="C13" t="s">
        <v>11</v>
      </c>
      <c r="D13" t="s">
        <v>12</v>
      </c>
      <c r="E13" t="s">
        <v>18</v>
      </c>
      <c r="F13">
        <v>13</v>
      </c>
      <c r="G13" s="2">
        <v>4302</v>
      </c>
      <c r="H13" s="2">
        <v>55926</v>
      </c>
      <c r="I13">
        <v>12</v>
      </c>
      <c r="J13">
        <v>49</v>
      </c>
    </row>
    <row r="14" spans="1:10" x14ac:dyDescent="0.3">
      <c r="A14" t="s">
        <v>34</v>
      </c>
      <c r="B14">
        <v>53</v>
      </c>
      <c r="C14" t="s">
        <v>11</v>
      </c>
      <c r="D14" t="s">
        <v>15</v>
      </c>
      <c r="E14" t="s">
        <v>21</v>
      </c>
      <c r="F14">
        <v>4</v>
      </c>
      <c r="G14" s="2">
        <v>2794</v>
      </c>
      <c r="H14" s="2">
        <v>11176</v>
      </c>
      <c r="I14">
        <v>58</v>
      </c>
      <c r="J14">
        <v>12</v>
      </c>
    </row>
    <row r="15" spans="1:10" x14ac:dyDescent="0.3">
      <c r="A15" t="s">
        <v>35</v>
      </c>
      <c r="B15">
        <v>57</v>
      </c>
      <c r="C15" t="s">
        <v>11</v>
      </c>
      <c r="D15" t="s">
        <v>20</v>
      </c>
      <c r="E15" t="s">
        <v>21</v>
      </c>
      <c r="F15">
        <v>8</v>
      </c>
      <c r="G15" s="2">
        <v>3027</v>
      </c>
      <c r="H15" s="2">
        <v>24216</v>
      </c>
      <c r="I15">
        <v>32</v>
      </c>
      <c r="J15">
        <v>48</v>
      </c>
    </row>
    <row r="16" spans="1:10" x14ac:dyDescent="0.3">
      <c r="A16" t="s">
        <v>36</v>
      </c>
      <c r="B16">
        <v>41</v>
      </c>
      <c r="C16" t="s">
        <v>11</v>
      </c>
      <c r="D16" t="s">
        <v>15</v>
      </c>
      <c r="E16" t="s">
        <v>13</v>
      </c>
      <c r="F16">
        <v>7</v>
      </c>
      <c r="G16" s="2">
        <v>2294</v>
      </c>
      <c r="H16" s="2">
        <v>16058</v>
      </c>
      <c r="I16">
        <v>111</v>
      </c>
      <c r="J16">
        <v>24</v>
      </c>
    </row>
    <row r="17" spans="1:10" x14ac:dyDescent="0.3">
      <c r="A17" t="s">
        <v>37</v>
      </c>
      <c r="B17">
        <v>20</v>
      </c>
      <c r="C17" t="s">
        <v>17</v>
      </c>
      <c r="D17" t="s">
        <v>23</v>
      </c>
      <c r="E17" t="s">
        <v>24</v>
      </c>
      <c r="F17">
        <v>2</v>
      </c>
      <c r="G17" s="2">
        <v>1673</v>
      </c>
      <c r="H17" s="2">
        <v>3346</v>
      </c>
      <c r="I17">
        <v>7</v>
      </c>
      <c r="J17">
        <v>17</v>
      </c>
    </row>
    <row r="18" spans="1:10" x14ac:dyDescent="0.3">
      <c r="A18" t="s">
        <v>38</v>
      </c>
      <c r="B18">
        <v>39</v>
      </c>
      <c r="C18" t="s">
        <v>17</v>
      </c>
      <c r="D18" t="s">
        <v>12</v>
      </c>
      <c r="E18" t="s">
        <v>24</v>
      </c>
      <c r="F18">
        <v>1</v>
      </c>
      <c r="G18" s="2">
        <v>1815</v>
      </c>
      <c r="H18" s="2">
        <v>1815</v>
      </c>
      <c r="I18">
        <v>121</v>
      </c>
      <c r="J18">
        <v>32</v>
      </c>
    </row>
    <row r="19" spans="1:10" x14ac:dyDescent="0.3">
      <c r="A19" t="s">
        <v>39</v>
      </c>
      <c r="B19">
        <v>19</v>
      </c>
      <c r="C19" t="s">
        <v>17</v>
      </c>
      <c r="D19" t="s">
        <v>40</v>
      </c>
      <c r="E19" t="s">
        <v>24</v>
      </c>
      <c r="F19">
        <v>12</v>
      </c>
      <c r="G19" s="2">
        <v>3190</v>
      </c>
      <c r="H19" s="2">
        <v>38280</v>
      </c>
      <c r="I19">
        <v>35</v>
      </c>
      <c r="J19">
        <v>12</v>
      </c>
    </row>
    <row r="20" spans="1:10" x14ac:dyDescent="0.3">
      <c r="A20" t="s">
        <v>41</v>
      </c>
      <c r="B20">
        <v>41</v>
      </c>
      <c r="C20" t="s">
        <v>17</v>
      </c>
      <c r="D20" t="s">
        <v>40</v>
      </c>
      <c r="E20" t="s">
        <v>24</v>
      </c>
      <c r="F20">
        <v>11</v>
      </c>
      <c r="G20" s="2">
        <v>3509</v>
      </c>
      <c r="H20" s="2">
        <v>38599</v>
      </c>
      <c r="I20">
        <v>120</v>
      </c>
      <c r="J20">
        <v>17</v>
      </c>
    </row>
    <row r="21" spans="1:10" x14ac:dyDescent="0.3">
      <c r="A21" t="s">
        <v>42</v>
      </c>
      <c r="B21">
        <v>47</v>
      </c>
      <c r="C21" t="s">
        <v>17</v>
      </c>
      <c r="D21" t="s">
        <v>27</v>
      </c>
      <c r="E21" t="s">
        <v>32</v>
      </c>
      <c r="F21">
        <v>4</v>
      </c>
      <c r="G21" s="2">
        <v>3666</v>
      </c>
      <c r="H21" s="2">
        <v>14664</v>
      </c>
      <c r="I21">
        <v>67</v>
      </c>
      <c r="J21">
        <v>9</v>
      </c>
    </row>
    <row r="22" spans="1:10" x14ac:dyDescent="0.3">
      <c r="A22" t="s">
        <v>43</v>
      </c>
      <c r="B22">
        <v>55</v>
      </c>
      <c r="C22" t="s">
        <v>17</v>
      </c>
      <c r="D22" t="s">
        <v>15</v>
      </c>
      <c r="E22" t="s">
        <v>21</v>
      </c>
      <c r="F22">
        <v>8</v>
      </c>
      <c r="G22" s="2">
        <v>3658</v>
      </c>
      <c r="H22" s="2">
        <v>29264</v>
      </c>
      <c r="I22">
        <v>148</v>
      </c>
      <c r="J22">
        <v>5</v>
      </c>
    </row>
    <row r="23" spans="1:10" x14ac:dyDescent="0.3">
      <c r="A23" t="s">
        <v>44</v>
      </c>
      <c r="B23">
        <v>19</v>
      </c>
      <c r="C23" t="s">
        <v>11</v>
      </c>
      <c r="D23" t="s">
        <v>15</v>
      </c>
      <c r="E23" t="s">
        <v>32</v>
      </c>
      <c r="F23">
        <v>12</v>
      </c>
      <c r="G23" s="2">
        <v>865</v>
      </c>
      <c r="H23" s="2">
        <v>10380</v>
      </c>
      <c r="I23">
        <v>179</v>
      </c>
      <c r="J23">
        <v>41</v>
      </c>
    </row>
    <row r="24" spans="1:10" x14ac:dyDescent="0.3">
      <c r="A24" t="s">
        <v>45</v>
      </c>
      <c r="B24">
        <v>38</v>
      </c>
      <c r="C24" t="s">
        <v>17</v>
      </c>
      <c r="D24" t="s">
        <v>27</v>
      </c>
      <c r="E24" t="s">
        <v>13</v>
      </c>
      <c r="F24">
        <v>2</v>
      </c>
      <c r="G24" s="2">
        <v>2478</v>
      </c>
      <c r="H24" s="2">
        <v>4956</v>
      </c>
      <c r="I24">
        <v>13</v>
      </c>
      <c r="J24">
        <v>5</v>
      </c>
    </row>
    <row r="25" spans="1:10" x14ac:dyDescent="0.3">
      <c r="A25" t="s">
        <v>46</v>
      </c>
      <c r="B25">
        <v>50</v>
      </c>
      <c r="C25" t="s">
        <v>17</v>
      </c>
      <c r="D25" t="s">
        <v>27</v>
      </c>
      <c r="E25" t="s">
        <v>24</v>
      </c>
      <c r="F25">
        <v>3</v>
      </c>
      <c r="G25" s="2">
        <v>730</v>
      </c>
      <c r="H25" s="2">
        <v>2190</v>
      </c>
      <c r="I25">
        <v>87</v>
      </c>
      <c r="J25">
        <v>26</v>
      </c>
    </row>
    <row r="26" spans="1:10" x14ac:dyDescent="0.3">
      <c r="A26" t="s">
        <v>47</v>
      </c>
      <c r="B26">
        <v>29</v>
      </c>
      <c r="C26" t="s">
        <v>11</v>
      </c>
      <c r="D26" t="s">
        <v>27</v>
      </c>
      <c r="E26" t="s">
        <v>24</v>
      </c>
      <c r="F26">
        <v>12</v>
      </c>
      <c r="G26" s="2">
        <v>2698</v>
      </c>
      <c r="H26" s="2">
        <v>32376</v>
      </c>
      <c r="I26">
        <v>28</v>
      </c>
      <c r="J26">
        <v>4</v>
      </c>
    </row>
    <row r="27" spans="1:10" x14ac:dyDescent="0.3">
      <c r="A27" t="s">
        <v>48</v>
      </c>
      <c r="B27">
        <v>39</v>
      </c>
      <c r="C27" t="s">
        <v>17</v>
      </c>
      <c r="D27" t="s">
        <v>12</v>
      </c>
      <c r="E27" t="s">
        <v>24</v>
      </c>
      <c r="F27">
        <v>1</v>
      </c>
      <c r="G27" s="2">
        <v>2266</v>
      </c>
      <c r="H27" s="2">
        <v>2266</v>
      </c>
      <c r="I27">
        <v>65</v>
      </c>
      <c r="J27">
        <v>33</v>
      </c>
    </row>
    <row r="28" spans="1:10" x14ac:dyDescent="0.3">
      <c r="A28" t="s">
        <v>49</v>
      </c>
      <c r="B28">
        <v>42</v>
      </c>
      <c r="C28" t="s">
        <v>17</v>
      </c>
      <c r="D28" t="s">
        <v>23</v>
      </c>
      <c r="E28" t="s">
        <v>13</v>
      </c>
      <c r="F28">
        <v>1</v>
      </c>
      <c r="G28" s="2">
        <v>4051</v>
      </c>
      <c r="H28" s="2">
        <v>4051</v>
      </c>
      <c r="I28">
        <v>88</v>
      </c>
      <c r="J28">
        <v>4</v>
      </c>
    </row>
    <row r="29" spans="1:10" x14ac:dyDescent="0.3">
      <c r="A29" t="s">
        <v>50</v>
      </c>
      <c r="B29">
        <v>44</v>
      </c>
      <c r="C29" t="s">
        <v>11</v>
      </c>
      <c r="D29" t="s">
        <v>15</v>
      </c>
      <c r="E29" t="s">
        <v>21</v>
      </c>
      <c r="F29">
        <v>13</v>
      </c>
      <c r="G29" s="2">
        <v>1904</v>
      </c>
      <c r="H29" s="2">
        <v>24752</v>
      </c>
      <c r="I29">
        <v>61</v>
      </c>
      <c r="J29">
        <v>28</v>
      </c>
    </row>
    <row r="30" spans="1:10" x14ac:dyDescent="0.3">
      <c r="A30" t="s">
        <v>51</v>
      </c>
      <c r="B30">
        <v>59</v>
      </c>
      <c r="C30" t="s">
        <v>17</v>
      </c>
      <c r="D30" t="s">
        <v>12</v>
      </c>
      <c r="E30" t="s">
        <v>21</v>
      </c>
      <c r="F30">
        <v>3</v>
      </c>
      <c r="G30" s="2">
        <v>968</v>
      </c>
      <c r="H30" s="2">
        <v>2904</v>
      </c>
      <c r="I30">
        <v>29</v>
      </c>
      <c r="J30">
        <v>30</v>
      </c>
    </row>
    <row r="31" spans="1:10" x14ac:dyDescent="0.3">
      <c r="A31" t="s">
        <v>52</v>
      </c>
      <c r="B31">
        <v>45</v>
      </c>
      <c r="C31" t="s">
        <v>17</v>
      </c>
      <c r="D31" t="s">
        <v>27</v>
      </c>
      <c r="E31" t="s">
        <v>13</v>
      </c>
      <c r="F31">
        <v>11</v>
      </c>
      <c r="G31" s="2">
        <v>1072</v>
      </c>
      <c r="H31" s="2">
        <v>11792</v>
      </c>
      <c r="I31">
        <v>179</v>
      </c>
      <c r="J31">
        <v>33</v>
      </c>
    </row>
    <row r="32" spans="1:10" x14ac:dyDescent="0.3">
      <c r="A32" t="s">
        <v>53</v>
      </c>
      <c r="B32">
        <v>33</v>
      </c>
      <c r="C32" t="s">
        <v>17</v>
      </c>
      <c r="D32" t="s">
        <v>15</v>
      </c>
      <c r="E32" t="s">
        <v>21</v>
      </c>
      <c r="F32">
        <v>5</v>
      </c>
      <c r="G32" s="2">
        <v>3546</v>
      </c>
      <c r="H32" s="2">
        <v>17730</v>
      </c>
      <c r="I32">
        <v>163</v>
      </c>
      <c r="J32">
        <v>20</v>
      </c>
    </row>
    <row r="33" spans="1:10" x14ac:dyDescent="0.3">
      <c r="A33" t="s">
        <v>54</v>
      </c>
      <c r="B33">
        <v>32</v>
      </c>
      <c r="C33" t="s">
        <v>17</v>
      </c>
      <c r="D33" t="s">
        <v>12</v>
      </c>
      <c r="E33" t="s">
        <v>21</v>
      </c>
      <c r="F33">
        <v>12</v>
      </c>
      <c r="G33" s="2">
        <v>2973</v>
      </c>
      <c r="H33" s="2">
        <v>35676</v>
      </c>
      <c r="I33">
        <v>100</v>
      </c>
      <c r="J33">
        <v>22</v>
      </c>
    </row>
    <row r="34" spans="1:10" x14ac:dyDescent="0.3">
      <c r="A34" t="s">
        <v>55</v>
      </c>
      <c r="B34">
        <v>20</v>
      </c>
      <c r="C34" t="s">
        <v>11</v>
      </c>
      <c r="D34" t="s">
        <v>23</v>
      </c>
      <c r="E34" t="s">
        <v>24</v>
      </c>
      <c r="F34">
        <v>3</v>
      </c>
      <c r="G34" s="2">
        <v>904</v>
      </c>
      <c r="H34" s="2">
        <v>2712</v>
      </c>
      <c r="I34">
        <v>107</v>
      </c>
      <c r="J34">
        <v>6</v>
      </c>
    </row>
    <row r="35" spans="1:10" x14ac:dyDescent="0.3">
      <c r="A35" t="s">
        <v>56</v>
      </c>
      <c r="B35">
        <v>54</v>
      </c>
      <c r="C35" t="s">
        <v>11</v>
      </c>
      <c r="D35" t="s">
        <v>12</v>
      </c>
      <c r="E35" t="s">
        <v>21</v>
      </c>
      <c r="F35">
        <v>1</v>
      </c>
      <c r="G35" s="2">
        <v>836</v>
      </c>
      <c r="H35" s="2">
        <v>836</v>
      </c>
      <c r="I35">
        <v>101</v>
      </c>
      <c r="J35">
        <v>19</v>
      </c>
    </row>
    <row r="36" spans="1:10" x14ac:dyDescent="0.3">
      <c r="A36" t="s">
        <v>57</v>
      </c>
      <c r="B36">
        <v>24</v>
      </c>
      <c r="C36" t="s">
        <v>11</v>
      </c>
      <c r="D36" t="s">
        <v>23</v>
      </c>
      <c r="E36" t="s">
        <v>18</v>
      </c>
      <c r="F36">
        <v>1</v>
      </c>
      <c r="G36" s="2">
        <v>3304</v>
      </c>
      <c r="H36" s="2">
        <v>3304</v>
      </c>
      <c r="I36">
        <v>131</v>
      </c>
      <c r="J36">
        <v>29</v>
      </c>
    </row>
    <row r="37" spans="1:10" x14ac:dyDescent="0.3">
      <c r="A37" t="s">
        <v>58</v>
      </c>
      <c r="B37">
        <v>38</v>
      </c>
      <c r="C37" t="s">
        <v>11</v>
      </c>
      <c r="D37" t="s">
        <v>27</v>
      </c>
      <c r="E37" t="s">
        <v>21</v>
      </c>
      <c r="F37">
        <v>8</v>
      </c>
      <c r="G37" s="2">
        <v>791</v>
      </c>
      <c r="H37" s="2">
        <v>6328</v>
      </c>
      <c r="I37">
        <v>151</v>
      </c>
      <c r="J37">
        <v>43</v>
      </c>
    </row>
    <row r="38" spans="1:10" x14ac:dyDescent="0.3">
      <c r="A38" t="s">
        <v>59</v>
      </c>
      <c r="B38">
        <v>26</v>
      </c>
      <c r="C38" t="s">
        <v>11</v>
      </c>
      <c r="D38" t="s">
        <v>23</v>
      </c>
      <c r="E38" t="s">
        <v>13</v>
      </c>
      <c r="F38">
        <v>10</v>
      </c>
      <c r="G38" s="2">
        <v>3787</v>
      </c>
      <c r="H38" s="2">
        <v>37870</v>
      </c>
      <c r="I38">
        <v>57</v>
      </c>
      <c r="J38">
        <v>23</v>
      </c>
    </row>
    <row r="39" spans="1:10" x14ac:dyDescent="0.3">
      <c r="A39" t="s">
        <v>60</v>
      </c>
      <c r="B39">
        <v>56</v>
      </c>
      <c r="C39" t="s">
        <v>17</v>
      </c>
      <c r="D39" t="s">
        <v>15</v>
      </c>
      <c r="E39" t="s">
        <v>24</v>
      </c>
      <c r="F39">
        <v>11</v>
      </c>
      <c r="G39" s="2">
        <v>3325</v>
      </c>
      <c r="H39" s="2">
        <v>36575</v>
      </c>
      <c r="I39">
        <v>8</v>
      </c>
      <c r="J39">
        <v>22</v>
      </c>
    </row>
    <row r="40" spans="1:10" x14ac:dyDescent="0.3">
      <c r="A40" t="s">
        <v>61</v>
      </c>
      <c r="B40">
        <v>35</v>
      </c>
      <c r="C40" t="s">
        <v>11</v>
      </c>
      <c r="D40" t="s">
        <v>27</v>
      </c>
      <c r="E40" t="s">
        <v>13</v>
      </c>
      <c r="F40">
        <v>12</v>
      </c>
      <c r="G40" s="2">
        <v>825</v>
      </c>
      <c r="H40" s="2">
        <v>9900</v>
      </c>
      <c r="I40">
        <v>97</v>
      </c>
      <c r="J40">
        <v>7</v>
      </c>
    </row>
    <row r="41" spans="1:10" x14ac:dyDescent="0.3">
      <c r="A41" t="s">
        <v>62</v>
      </c>
      <c r="B41">
        <v>21</v>
      </c>
      <c r="C41" t="s">
        <v>17</v>
      </c>
      <c r="D41" t="s">
        <v>15</v>
      </c>
      <c r="E41" t="s">
        <v>24</v>
      </c>
      <c r="F41">
        <v>13</v>
      </c>
      <c r="G41" s="2">
        <v>839</v>
      </c>
      <c r="H41" s="2">
        <v>10907</v>
      </c>
      <c r="I41">
        <v>135</v>
      </c>
      <c r="J41">
        <v>2</v>
      </c>
    </row>
    <row r="42" spans="1:10" x14ac:dyDescent="0.3">
      <c r="A42" t="s">
        <v>63</v>
      </c>
      <c r="B42">
        <v>42</v>
      </c>
      <c r="C42" t="s">
        <v>11</v>
      </c>
      <c r="D42" t="s">
        <v>40</v>
      </c>
      <c r="E42" t="s">
        <v>21</v>
      </c>
      <c r="F42">
        <v>13</v>
      </c>
      <c r="G42" s="2">
        <v>4447</v>
      </c>
      <c r="H42" s="2">
        <v>57811</v>
      </c>
      <c r="I42">
        <v>104</v>
      </c>
      <c r="J42">
        <v>6</v>
      </c>
    </row>
    <row r="43" spans="1:10" x14ac:dyDescent="0.3">
      <c r="A43" t="s">
        <v>64</v>
      </c>
      <c r="B43">
        <v>31</v>
      </c>
      <c r="C43" t="s">
        <v>11</v>
      </c>
      <c r="D43" t="s">
        <v>20</v>
      </c>
      <c r="E43" t="s">
        <v>18</v>
      </c>
      <c r="F43">
        <v>12</v>
      </c>
      <c r="G43" s="2">
        <v>1997</v>
      </c>
      <c r="H43" s="2">
        <v>23964</v>
      </c>
      <c r="I43">
        <v>5</v>
      </c>
      <c r="J43">
        <v>42</v>
      </c>
    </row>
    <row r="44" spans="1:10" x14ac:dyDescent="0.3">
      <c r="A44" t="s">
        <v>65</v>
      </c>
      <c r="B44">
        <v>26</v>
      </c>
      <c r="C44" t="s">
        <v>17</v>
      </c>
      <c r="D44" t="s">
        <v>23</v>
      </c>
      <c r="E44" t="s">
        <v>32</v>
      </c>
      <c r="F44">
        <v>15</v>
      </c>
      <c r="G44" s="2">
        <v>1983</v>
      </c>
      <c r="H44" s="2">
        <v>29745</v>
      </c>
      <c r="I44">
        <v>25</v>
      </c>
      <c r="J44">
        <v>13</v>
      </c>
    </row>
    <row r="45" spans="1:10" x14ac:dyDescent="0.3">
      <c r="A45" t="s">
        <v>66</v>
      </c>
      <c r="B45">
        <v>43</v>
      </c>
      <c r="C45" t="s">
        <v>17</v>
      </c>
      <c r="D45" t="s">
        <v>20</v>
      </c>
      <c r="E45" t="s">
        <v>18</v>
      </c>
      <c r="F45">
        <v>14</v>
      </c>
      <c r="G45" s="2">
        <v>3751</v>
      </c>
      <c r="H45" s="2">
        <v>52514</v>
      </c>
      <c r="I45">
        <v>55</v>
      </c>
      <c r="J45">
        <v>27</v>
      </c>
    </row>
    <row r="46" spans="1:10" x14ac:dyDescent="0.3">
      <c r="A46" t="s">
        <v>67</v>
      </c>
      <c r="B46">
        <v>19</v>
      </c>
      <c r="C46" t="s">
        <v>17</v>
      </c>
      <c r="D46" t="s">
        <v>20</v>
      </c>
      <c r="E46" t="s">
        <v>24</v>
      </c>
      <c r="F46">
        <v>2</v>
      </c>
      <c r="G46" s="2">
        <v>4289</v>
      </c>
      <c r="H46" s="2">
        <v>8578</v>
      </c>
      <c r="I46">
        <v>167</v>
      </c>
      <c r="J46">
        <v>47</v>
      </c>
    </row>
    <row r="47" spans="1:10" x14ac:dyDescent="0.3">
      <c r="A47" t="s">
        <v>68</v>
      </c>
      <c r="B47">
        <v>37</v>
      </c>
      <c r="C47" t="s">
        <v>17</v>
      </c>
      <c r="D47" t="s">
        <v>23</v>
      </c>
      <c r="E47" t="s">
        <v>21</v>
      </c>
      <c r="F47">
        <v>13</v>
      </c>
      <c r="G47" s="2">
        <v>4444</v>
      </c>
      <c r="H47" s="2">
        <v>57772</v>
      </c>
      <c r="I47">
        <v>85</v>
      </c>
      <c r="J47">
        <v>35</v>
      </c>
    </row>
    <row r="48" spans="1:10" x14ac:dyDescent="0.3">
      <c r="A48" t="s">
        <v>69</v>
      </c>
      <c r="B48">
        <v>45</v>
      </c>
      <c r="C48" t="s">
        <v>11</v>
      </c>
      <c r="D48" t="s">
        <v>27</v>
      </c>
      <c r="E48" t="s">
        <v>24</v>
      </c>
      <c r="F48">
        <v>3</v>
      </c>
      <c r="G48" s="2">
        <v>3514</v>
      </c>
      <c r="H48" s="2">
        <v>10542</v>
      </c>
      <c r="I48">
        <v>147</v>
      </c>
      <c r="J48">
        <v>50</v>
      </c>
    </row>
    <row r="49" spans="1:10" x14ac:dyDescent="0.3">
      <c r="A49" t="s">
        <v>70</v>
      </c>
      <c r="B49">
        <v>24</v>
      </c>
      <c r="C49" t="s">
        <v>11</v>
      </c>
      <c r="D49" t="s">
        <v>40</v>
      </c>
      <c r="E49" t="s">
        <v>13</v>
      </c>
      <c r="F49">
        <v>2</v>
      </c>
      <c r="G49" s="2">
        <v>2005</v>
      </c>
      <c r="H49" s="2">
        <v>4010</v>
      </c>
      <c r="I49">
        <v>87</v>
      </c>
      <c r="J49">
        <v>15</v>
      </c>
    </row>
    <row r="50" spans="1:10" x14ac:dyDescent="0.3">
      <c r="A50" t="s">
        <v>71</v>
      </c>
      <c r="B50">
        <v>25</v>
      </c>
      <c r="C50" t="s">
        <v>17</v>
      </c>
      <c r="D50" t="s">
        <v>15</v>
      </c>
      <c r="E50" t="s">
        <v>24</v>
      </c>
      <c r="F50">
        <v>3</v>
      </c>
      <c r="G50" s="2">
        <v>834</v>
      </c>
      <c r="H50" s="2">
        <v>2502</v>
      </c>
      <c r="I50">
        <v>80</v>
      </c>
      <c r="J50">
        <v>27</v>
      </c>
    </row>
    <row r="51" spans="1:10" x14ac:dyDescent="0.3">
      <c r="A51" t="s">
        <v>72</v>
      </c>
      <c r="B51">
        <v>52</v>
      </c>
      <c r="C51" t="s">
        <v>17</v>
      </c>
      <c r="D51" t="s">
        <v>12</v>
      </c>
      <c r="E51" t="s">
        <v>32</v>
      </c>
      <c r="F51">
        <v>7</v>
      </c>
      <c r="G51" s="2">
        <v>3609</v>
      </c>
      <c r="H51" s="2">
        <v>25263</v>
      </c>
      <c r="I51">
        <v>112</v>
      </c>
      <c r="J51">
        <v>46</v>
      </c>
    </row>
    <row r="52" spans="1:10" x14ac:dyDescent="0.3">
      <c r="A52" t="s">
        <v>73</v>
      </c>
      <c r="B52">
        <v>31</v>
      </c>
      <c r="C52" t="s">
        <v>17</v>
      </c>
      <c r="D52" t="s">
        <v>15</v>
      </c>
      <c r="E52" t="s">
        <v>24</v>
      </c>
      <c r="F52">
        <v>1</v>
      </c>
      <c r="G52" s="2">
        <v>2734</v>
      </c>
      <c r="H52" s="2">
        <v>2734</v>
      </c>
      <c r="I52">
        <v>3</v>
      </c>
      <c r="J52">
        <v>28</v>
      </c>
    </row>
    <row r="53" spans="1:10" x14ac:dyDescent="0.3">
      <c r="A53" t="s">
        <v>74</v>
      </c>
      <c r="B53">
        <v>34</v>
      </c>
      <c r="C53" t="s">
        <v>17</v>
      </c>
      <c r="D53" t="s">
        <v>12</v>
      </c>
      <c r="E53" t="s">
        <v>18</v>
      </c>
      <c r="F53">
        <v>10</v>
      </c>
      <c r="G53" s="2">
        <v>2197</v>
      </c>
      <c r="H53" s="2">
        <v>21970</v>
      </c>
      <c r="I53">
        <v>53</v>
      </c>
      <c r="J53">
        <v>10</v>
      </c>
    </row>
    <row r="54" spans="1:10" x14ac:dyDescent="0.3">
      <c r="A54" t="s">
        <v>75</v>
      </c>
      <c r="B54">
        <v>53</v>
      </c>
      <c r="C54" t="s">
        <v>17</v>
      </c>
      <c r="D54" t="s">
        <v>15</v>
      </c>
      <c r="E54" t="s">
        <v>24</v>
      </c>
      <c r="F54">
        <v>8</v>
      </c>
      <c r="G54" s="2">
        <v>4125</v>
      </c>
      <c r="H54" s="2">
        <v>33000</v>
      </c>
      <c r="I54">
        <v>175</v>
      </c>
      <c r="J54">
        <v>27</v>
      </c>
    </row>
    <row r="55" spans="1:10" x14ac:dyDescent="0.3">
      <c r="A55" t="s">
        <v>76</v>
      </c>
      <c r="B55">
        <v>57</v>
      </c>
      <c r="C55" t="s">
        <v>17</v>
      </c>
      <c r="D55" t="s">
        <v>23</v>
      </c>
      <c r="E55" t="s">
        <v>32</v>
      </c>
      <c r="F55">
        <v>13</v>
      </c>
      <c r="G55" s="2">
        <v>945</v>
      </c>
      <c r="H55" s="2">
        <v>12285</v>
      </c>
      <c r="I55">
        <v>6</v>
      </c>
      <c r="J55">
        <v>48</v>
      </c>
    </row>
    <row r="56" spans="1:10" x14ac:dyDescent="0.3">
      <c r="A56" t="s">
        <v>77</v>
      </c>
      <c r="B56">
        <v>21</v>
      </c>
      <c r="C56" t="s">
        <v>11</v>
      </c>
      <c r="D56" t="s">
        <v>40</v>
      </c>
      <c r="E56" t="s">
        <v>21</v>
      </c>
      <c r="F56">
        <v>10</v>
      </c>
      <c r="G56" s="2">
        <v>2471</v>
      </c>
      <c r="H56" s="2">
        <v>24710</v>
      </c>
      <c r="I56">
        <v>115</v>
      </c>
      <c r="J56">
        <v>23</v>
      </c>
    </row>
    <row r="57" spans="1:10" x14ac:dyDescent="0.3">
      <c r="A57" t="s">
        <v>78</v>
      </c>
      <c r="B57">
        <v>19</v>
      </c>
      <c r="C57" t="s">
        <v>17</v>
      </c>
      <c r="D57" t="s">
        <v>12</v>
      </c>
      <c r="E57" t="s">
        <v>24</v>
      </c>
      <c r="F57">
        <v>10</v>
      </c>
      <c r="G57" s="2">
        <v>545</v>
      </c>
      <c r="H57" s="2">
        <v>5450</v>
      </c>
      <c r="I57">
        <v>34</v>
      </c>
      <c r="J57">
        <v>48</v>
      </c>
    </row>
    <row r="58" spans="1:10" x14ac:dyDescent="0.3">
      <c r="A58" t="s">
        <v>79</v>
      </c>
      <c r="B58">
        <v>23</v>
      </c>
      <c r="C58" t="s">
        <v>17</v>
      </c>
      <c r="D58" t="s">
        <v>27</v>
      </c>
      <c r="E58" t="s">
        <v>32</v>
      </c>
      <c r="F58">
        <v>10</v>
      </c>
      <c r="G58" s="2">
        <v>2375</v>
      </c>
      <c r="H58" s="2">
        <v>23750</v>
      </c>
      <c r="I58">
        <v>36</v>
      </c>
      <c r="J58">
        <v>31</v>
      </c>
    </row>
    <row r="59" spans="1:10" x14ac:dyDescent="0.3">
      <c r="A59" t="s">
        <v>80</v>
      </c>
      <c r="B59">
        <v>59</v>
      </c>
      <c r="C59" t="s">
        <v>11</v>
      </c>
      <c r="D59" t="s">
        <v>15</v>
      </c>
      <c r="E59" t="s">
        <v>21</v>
      </c>
      <c r="F59">
        <v>14</v>
      </c>
      <c r="G59" s="2">
        <v>725</v>
      </c>
      <c r="H59" s="2">
        <v>10150</v>
      </c>
      <c r="I59">
        <v>94</v>
      </c>
      <c r="J59">
        <v>44</v>
      </c>
    </row>
    <row r="60" spans="1:10" x14ac:dyDescent="0.3">
      <c r="A60" t="s">
        <v>81</v>
      </c>
      <c r="B60">
        <v>21</v>
      </c>
      <c r="C60" t="s">
        <v>17</v>
      </c>
      <c r="D60" t="s">
        <v>15</v>
      </c>
      <c r="E60" t="s">
        <v>21</v>
      </c>
      <c r="F60">
        <v>2</v>
      </c>
      <c r="G60" s="2">
        <v>975</v>
      </c>
      <c r="H60" s="2">
        <v>1950</v>
      </c>
      <c r="I60">
        <v>97</v>
      </c>
      <c r="J60">
        <v>49</v>
      </c>
    </row>
    <row r="61" spans="1:10" x14ac:dyDescent="0.3">
      <c r="A61" t="s">
        <v>82</v>
      </c>
      <c r="B61">
        <v>46</v>
      </c>
      <c r="C61" t="s">
        <v>11</v>
      </c>
      <c r="D61" t="s">
        <v>12</v>
      </c>
      <c r="E61" t="s">
        <v>18</v>
      </c>
      <c r="F61">
        <v>3</v>
      </c>
      <c r="G61" s="2">
        <v>970</v>
      </c>
      <c r="H61" s="2">
        <v>2910</v>
      </c>
      <c r="I61">
        <v>74</v>
      </c>
      <c r="J61">
        <v>18</v>
      </c>
    </row>
    <row r="62" spans="1:10" x14ac:dyDescent="0.3">
      <c r="A62" t="s">
        <v>83</v>
      </c>
      <c r="B62">
        <v>35</v>
      </c>
      <c r="C62" t="s">
        <v>11</v>
      </c>
      <c r="D62" t="s">
        <v>27</v>
      </c>
      <c r="E62" t="s">
        <v>32</v>
      </c>
      <c r="F62">
        <v>9</v>
      </c>
      <c r="G62" s="2">
        <v>3097</v>
      </c>
      <c r="H62" s="2">
        <v>27873</v>
      </c>
      <c r="I62">
        <v>41</v>
      </c>
      <c r="J62">
        <v>27</v>
      </c>
    </row>
    <row r="63" spans="1:10" x14ac:dyDescent="0.3">
      <c r="A63" t="s">
        <v>84</v>
      </c>
      <c r="B63">
        <v>43</v>
      </c>
      <c r="C63" t="s">
        <v>17</v>
      </c>
      <c r="D63" t="s">
        <v>27</v>
      </c>
      <c r="E63" t="s">
        <v>21</v>
      </c>
      <c r="F63">
        <v>7</v>
      </c>
      <c r="G63" s="2">
        <v>3484</v>
      </c>
      <c r="H63" s="2">
        <v>24388</v>
      </c>
      <c r="I63">
        <v>156</v>
      </c>
      <c r="J63">
        <v>37</v>
      </c>
    </row>
    <row r="64" spans="1:10" x14ac:dyDescent="0.3">
      <c r="A64" t="s">
        <v>85</v>
      </c>
      <c r="B64">
        <v>51</v>
      </c>
      <c r="C64" t="s">
        <v>17</v>
      </c>
      <c r="D64" t="s">
        <v>23</v>
      </c>
      <c r="E64" t="s">
        <v>24</v>
      </c>
      <c r="F64">
        <v>4</v>
      </c>
      <c r="G64" s="2">
        <v>2833</v>
      </c>
      <c r="H64" s="2">
        <v>11332</v>
      </c>
      <c r="I64">
        <v>164</v>
      </c>
      <c r="J64">
        <v>2</v>
      </c>
    </row>
    <row r="65" spans="1:10" x14ac:dyDescent="0.3">
      <c r="A65" t="s">
        <v>86</v>
      </c>
      <c r="B65">
        <v>27</v>
      </c>
      <c r="C65" t="s">
        <v>17</v>
      </c>
      <c r="D65" t="s">
        <v>23</v>
      </c>
      <c r="E65" t="s">
        <v>24</v>
      </c>
      <c r="F65">
        <v>10</v>
      </c>
      <c r="G65" s="2">
        <v>4349</v>
      </c>
      <c r="H65" s="2">
        <v>43490</v>
      </c>
      <c r="I65">
        <v>120</v>
      </c>
      <c r="J65">
        <v>9</v>
      </c>
    </row>
    <row r="66" spans="1:10" x14ac:dyDescent="0.3">
      <c r="A66" t="s">
        <v>87</v>
      </c>
      <c r="B66">
        <v>53</v>
      </c>
      <c r="C66" t="s">
        <v>17</v>
      </c>
      <c r="D66" t="s">
        <v>23</v>
      </c>
      <c r="E66" t="s">
        <v>32</v>
      </c>
      <c r="F66">
        <v>5</v>
      </c>
      <c r="G66" s="2">
        <v>1999</v>
      </c>
      <c r="H66" s="2">
        <v>9995</v>
      </c>
      <c r="I66">
        <v>5</v>
      </c>
      <c r="J66">
        <v>50</v>
      </c>
    </row>
    <row r="67" spans="1:10" x14ac:dyDescent="0.3">
      <c r="A67" t="s">
        <v>88</v>
      </c>
      <c r="B67">
        <v>31</v>
      </c>
      <c r="C67" t="s">
        <v>17</v>
      </c>
      <c r="D67" t="s">
        <v>23</v>
      </c>
      <c r="E67" t="s">
        <v>24</v>
      </c>
      <c r="F67">
        <v>2</v>
      </c>
      <c r="G67" s="2">
        <v>1643</v>
      </c>
      <c r="H67" s="2">
        <v>3286</v>
      </c>
      <c r="I67">
        <v>125</v>
      </c>
      <c r="J67">
        <v>36</v>
      </c>
    </row>
    <row r="68" spans="1:10" x14ac:dyDescent="0.3">
      <c r="A68" t="s">
        <v>89</v>
      </c>
      <c r="B68">
        <v>48</v>
      </c>
      <c r="C68" t="s">
        <v>11</v>
      </c>
      <c r="D68" t="s">
        <v>23</v>
      </c>
      <c r="E68" t="s">
        <v>21</v>
      </c>
      <c r="F68">
        <v>13</v>
      </c>
      <c r="G68" s="2">
        <v>3974</v>
      </c>
      <c r="H68" s="2">
        <v>51662</v>
      </c>
      <c r="I68">
        <v>52</v>
      </c>
      <c r="J68">
        <v>16</v>
      </c>
    </row>
    <row r="69" spans="1:10" x14ac:dyDescent="0.3">
      <c r="A69" t="s">
        <v>90</v>
      </c>
      <c r="B69">
        <v>32</v>
      </c>
      <c r="C69" t="s">
        <v>17</v>
      </c>
      <c r="D69" t="s">
        <v>23</v>
      </c>
      <c r="E69" t="s">
        <v>21</v>
      </c>
      <c r="F69">
        <v>11</v>
      </c>
      <c r="G69" s="2">
        <v>1394</v>
      </c>
      <c r="H69" s="2">
        <v>15334</v>
      </c>
      <c r="I69">
        <v>14</v>
      </c>
      <c r="J69">
        <v>48</v>
      </c>
    </row>
    <row r="70" spans="1:10" x14ac:dyDescent="0.3">
      <c r="A70" t="s">
        <v>91</v>
      </c>
      <c r="B70">
        <v>25</v>
      </c>
      <c r="C70" t="s">
        <v>17</v>
      </c>
      <c r="D70" t="s">
        <v>40</v>
      </c>
      <c r="E70" t="s">
        <v>24</v>
      </c>
      <c r="F70">
        <v>13</v>
      </c>
      <c r="G70" s="2">
        <v>4353</v>
      </c>
      <c r="H70" s="2">
        <v>56589</v>
      </c>
      <c r="I70">
        <v>56</v>
      </c>
      <c r="J70">
        <v>23</v>
      </c>
    </row>
    <row r="71" spans="1:10" x14ac:dyDescent="0.3">
      <c r="A71" t="s">
        <v>92</v>
      </c>
      <c r="B71">
        <v>31</v>
      </c>
      <c r="C71" t="s">
        <v>17</v>
      </c>
      <c r="D71" t="s">
        <v>27</v>
      </c>
      <c r="E71" t="s">
        <v>32</v>
      </c>
      <c r="F71">
        <v>8</v>
      </c>
      <c r="G71" s="2">
        <v>549</v>
      </c>
      <c r="H71" s="2">
        <v>4392</v>
      </c>
      <c r="I71">
        <v>135</v>
      </c>
      <c r="J71">
        <v>15</v>
      </c>
    </row>
    <row r="72" spans="1:10" x14ac:dyDescent="0.3">
      <c r="A72" t="s">
        <v>93</v>
      </c>
      <c r="B72">
        <v>40</v>
      </c>
      <c r="C72" t="s">
        <v>11</v>
      </c>
      <c r="D72" t="s">
        <v>23</v>
      </c>
      <c r="E72" t="s">
        <v>21</v>
      </c>
      <c r="F72">
        <v>4</v>
      </c>
      <c r="G72" s="2">
        <v>4380</v>
      </c>
      <c r="H72" s="2">
        <v>17520</v>
      </c>
      <c r="I72">
        <v>59</v>
      </c>
      <c r="J72">
        <v>27</v>
      </c>
    </row>
    <row r="73" spans="1:10" x14ac:dyDescent="0.3">
      <c r="A73" t="s">
        <v>94</v>
      </c>
      <c r="B73">
        <v>57</v>
      </c>
      <c r="C73" t="s">
        <v>17</v>
      </c>
      <c r="D73" t="s">
        <v>27</v>
      </c>
      <c r="E73" t="s">
        <v>18</v>
      </c>
      <c r="F73">
        <v>9</v>
      </c>
      <c r="G73" s="2">
        <v>673</v>
      </c>
      <c r="H73" s="2">
        <v>6057</v>
      </c>
      <c r="I73">
        <v>147</v>
      </c>
      <c r="J73">
        <v>29</v>
      </c>
    </row>
    <row r="74" spans="1:10" x14ac:dyDescent="0.3">
      <c r="A74" t="s">
        <v>95</v>
      </c>
      <c r="B74">
        <v>38</v>
      </c>
      <c r="C74" t="s">
        <v>17</v>
      </c>
      <c r="D74" t="s">
        <v>27</v>
      </c>
      <c r="E74" t="s">
        <v>24</v>
      </c>
      <c r="F74">
        <v>5</v>
      </c>
      <c r="G74" s="2">
        <v>4065</v>
      </c>
      <c r="H74" s="2">
        <v>20325</v>
      </c>
      <c r="I74">
        <v>114</v>
      </c>
      <c r="J74">
        <v>24</v>
      </c>
    </row>
    <row r="75" spans="1:10" x14ac:dyDescent="0.3">
      <c r="A75" t="s">
        <v>96</v>
      </c>
      <c r="B75">
        <v>33</v>
      </c>
      <c r="C75" t="s">
        <v>17</v>
      </c>
      <c r="D75" t="s">
        <v>20</v>
      </c>
      <c r="E75" t="s">
        <v>21</v>
      </c>
      <c r="F75">
        <v>13</v>
      </c>
      <c r="G75" s="2">
        <v>2611</v>
      </c>
      <c r="H75" s="2">
        <v>33943</v>
      </c>
      <c r="I75">
        <v>49</v>
      </c>
      <c r="J75">
        <v>15</v>
      </c>
    </row>
    <row r="76" spans="1:10" x14ac:dyDescent="0.3">
      <c r="A76" t="s">
        <v>97</v>
      </c>
      <c r="B76">
        <v>35</v>
      </c>
      <c r="C76" t="s">
        <v>11</v>
      </c>
      <c r="D76" t="s">
        <v>40</v>
      </c>
      <c r="E76" t="s">
        <v>21</v>
      </c>
      <c r="F76">
        <v>9</v>
      </c>
      <c r="G76" s="2">
        <v>4472</v>
      </c>
      <c r="H76" s="2">
        <v>40248</v>
      </c>
      <c r="I76">
        <v>153</v>
      </c>
      <c r="J76">
        <v>25</v>
      </c>
    </row>
    <row r="77" spans="1:10" x14ac:dyDescent="0.3">
      <c r="A77" t="s">
        <v>98</v>
      </c>
      <c r="B77">
        <v>41</v>
      </c>
      <c r="C77" t="s">
        <v>17</v>
      </c>
      <c r="D77" t="s">
        <v>23</v>
      </c>
      <c r="E77" t="s">
        <v>21</v>
      </c>
      <c r="F77">
        <v>4</v>
      </c>
      <c r="G77" s="2">
        <v>795</v>
      </c>
      <c r="H77" s="2">
        <v>3180</v>
      </c>
      <c r="I77">
        <v>87</v>
      </c>
      <c r="J77">
        <v>3</v>
      </c>
    </row>
    <row r="78" spans="1:10" x14ac:dyDescent="0.3">
      <c r="A78" t="s">
        <v>99</v>
      </c>
      <c r="B78">
        <v>43</v>
      </c>
      <c r="C78" t="s">
        <v>11</v>
      </c>
      <c r="D78" t="s">
        <v>15</v>
      </c>
      <c r="E78" t="s">
        <v>18</v>
      </c>
      <c r="F78">
        <v>10</v>
      </c>
      <c r="G78" s="2">
        <v>2715</v>
      </c>
      <c r="H78" s="2">
        <v>27150</v>
      </c>
      <c r="I78">
        <v>144</v>
      </c>
      <c r="J78">
        <v>46</v>
      </c>
    </row>
    <row r="79" spans="1:10" x14ac:dyDescent="0.3">
      <c r="A79" t="s">
        <v>100</v>
      </c>
      <c r="B79">
        <v>42</v>
      </c>
      <c r="C79" t="s">
        <v>11</v>
      </c>
      <c r="D79" t="s">
        <v>12</v>
      </c>
      <c r="E79" t="s">
        <v>13</v>
      </c>
      <c r="F79">
        <v>5</v>
      </c>
      <c r="G79" s="2">
        <v>4377</v>
      </c>
      <c r="H79" s="2">
        <v>21885</v>
      </c>
      <c r="I79">
        <v>68</v>
      </c>
      <c r="J79">
        <v>27</v>
      </c>
    </row>
    <row r="80" spans="1:10" x14ac:dyDescent="0.3">
      <c r="A80" t="s">
        <v>101</v>
      </c>
      <c r="B80">
        <v>58</v>
      </c>
      <c r="C80" t="s">
        <v>17</v>
      </c>
      <c r="D80" t="s">
        <v>15</v>
      </c>
      <c r="E80" t="s">
        <v>13</v>
      </c>
      <c r="F80">
        <v>9</v>
      </c>
      <c r="G80" s="2">
        <v>2592</v>
      </c>
      <c r="H80" s="2">
        <v>23328</v>
      </c>
      <c r="I80">
        <v>77</v>
      </c>
      <c r="J80">
        <v>15</v>
      </c>
    </row>
    <row r="81" spans="1:10" x14ac:dyDescent="0.3">
      <c r="A81" t="s">
        <v>102</v>
      </c>
      <c r="B81">
        <v>46</v>
      </c>
      <c r="C81" t="s">
        <v>11</v>
      </c>
      <c r="D81" t="s">
        <v>40</v>
      </c>
      <c r="E81" t="s">
        <v>13</v>
      </c>
      <c r="F81">
        <v>8</v>
      </c>
      <c r="G81" s="2">
        <v>3018</v>
      </c>
      <c r="H81" s="2">
        <v>24144</v>
      </c>
      <c r="I81">
        <v>105</v>
      </c>
      <c r="J81">
        <v>8</v>
      </c>
    </row>
    <row r="82" spans="1:10" x14ac:dyDescent="0.3">
      <c r="A82" t="s">
        <v>103</v>
      </c>
      <c r="B82">
        <v>32</v>
      </c>
      <c r="C82" t="s">
        <v>17</v>
      </c>
      <c r="D82" t="s">
        <v>12</v>
      </c>
      <c r="E82" t="s">
        <v>24</v>
      </c>
      <c r="F82">
        <v>3</v>
      </c>
      <c r="G82" s="2">
        <v>3283</v>
      </c>
      <c r="H82" s="2">
        <v>9849</v>
      </c>
      <c r="I82">
        <v>168</v>
      </c>
      <c r="J82">
        <v>4</v>
      </c>
    </row>
    <row r="83" spans="1:10" x14ac:dyDescent="0.3">
      <c r="A83" t="s">
        <v>104</v>
      </c>
      <c r="B83">
        <v>18</v>
      </c>
      <c r="C83" t="s">
        <v>11</v>
      </c>
      <c r="D83" t="s">
        <v>40</v>
      </c>
      <c r="E83" t="s">
        <v>32</v>
      </c>
      <c r="F83">
        <v>1</v>
      </c>
      <c r="G83" s="2">
        <v>2318</v>
      </c>
      <c r="H83" s="2">
        <v>2318</v>
      </c>
      <c r="I83">
        <v>40</v>
      </c>
      <c r="J83">
        <v>48</v>
      </c>
    </row>
    <row r="84" spans="1:10" x14ac:dyDescent="0.3">
      <c r="A84" t="s">
        <v>105</v>
      </c>
      <c r="B84">
        <v>42</v>
      </c>
      <c r="C84" t="s">
        <v>11</v>
      </c>
      <c r="D84" t="s">
        <v>27</v>
      </c>
      <c r="E84" t="s">
        <v>21</v>
      </c>
      <c r="F84">
        <v>3</v>
      </c>
      <c r="G84" s="2">
        <v>3010</v>
      </c>
      <c r="H84" s="2">
        <v>9030</v>
      </c>
      <c r="I84">
        <v>52</v>
      </c>
      <c r="J84">
        <v>24</v>
      </c>
    </row>
    <row r="85" spans="1:10" x14ac:dyDescent="0.3">
      <c r="A85" t="s">
        <v>106</v>
      </c>
      <c r="B85">
        <v>24</v>
      </c>
      <c r="C85" t="s">
        <v>17</v>
      </c>
      <c r="D85" t="s">
        <v>12</v>
      </c>
      <c r="E85" t="s">
        <v>13</v>
      </c>
      <c r="F85">
        <v>4</v>
      </c>
      <c r="G85" s="2">
        <v>2837</v>
      </c>
      <c r="H85" s="2">
        <v>11348</v>
      </c>
      <c r="I85">
        <v>100</v>
      </c>
      <c r="J85">
        <v>47</v>
      </c>
    </row>
    <row r="86" spans="1:10" x14ac:dyDescent="0.3">
      <c r="A86" t="s">
        <v>107</v>
      </c>
      <c r="B86">
        <v>26</v>
      </c>
      <c r="C86" t="s">
        <v>17</v>
      </c>
      <c r="D86" t="s">
        <v>27</v>
      </c>
      <c r="E86" t="s">
        <v>21</v>
      </c>
      <c r="F86">
        <v>2</v>
      </c>
      <c r="G86" s="2">
        <v>4105</v>
      </c>
      <c r="H86" s="2">
        <v>8210</v>
      </c>
      <c r="I86">
        <v>84</v>
      </c>
      <c r="J86">
        <v>44</v>
      </c>
    </row>
    <row r="87" spans="1:10" x14ac:dyDescent="0.3">
      <c r="A87" t="s">
        <v>108</v>
      </c>
      <c r="B87">
        <v>41</v>
      </c>
      <c r="C87" t="s">
        <v>11</v>
      </c>
      <c r="D87" t="s">
        <v>15</v>
      </c>
      <c r="E87" t="s">
        <v>21</v>
      </c>
      <c r="F87">
        <v>1</v>
      </c>
      <c r="G87" s="2">
        <v>682</v>
      </c>
      <c r="H87" s="2">
        <v>682</v>
      </c>
      <c r="I87">
        <v>32</v>
      </c>
      <c r="J87">
        <v>48</v>
      </c>
    </row>
    <row r="88" spans="1:10" x14ac:dyDescent="0.3">
      <c r="A88" t="s">
        <v>109</v>
      </c>
      <c r="B88">
        <v>18</v>
      </c>
      <c r="C88" t="s">
        <v>17</v>
      </c>
      <c r="D88" t="s">
        <v>15</v>
      </c>
      <c r="E88" t="s">
        <v>24</v>
      </c>
      <c r="F88">
        <v>7</v>
      </c>
      <c r="G88" s="2">
        <v>1624</v>
      </c>
      <c r="H88" s="2">
        <v>11368</v>
      </c>
      <c r="I88">
        <v>81</v>
      </c>
      <c r="J88">
        <v>46</v>
      </c>
    </row>
    <row r="89" spans="1:10" x14ac:dyDescent="0.3">
      <c r="A89" t="s">
        <v>110</v>
      </c>
      <c r="B89">
        <v>25</v>
      </c>
      <c r="C89" t="s">
        <v>17</v>
      </c>
      <c r="D89" t="s">
        <v>12</v>
      </c>
      <c r="E89" t="s">
        <v>21</v>
      </c>
      <c r="F89">
        <v>8</v>
      </c>
      <c r="G89" s="2">
        <v>4302</v>
      </c>
      <c r="H89" s="2">
        <v>34416</v>
      </c>
      <c r="I89">
        <v>93</v>
      </c>
      <c r="J89">
        <v>19</v>
      </c>
    </row>
    <row r="90" spans="1:10" x14ac:dyDescent="0.3">
      <c r="A90" t="s">
        <v>111</v>
      </c>
      <c r="B90">
        <v>41</v>
      </c>
      <c r="C90" t="s">
        <v>17</v>
      </c>
      <c r="D90" t="s">
        <v>12</v>
      </c>
      <c r="E90" t="s">
        <v>21</v>
      </c>
      <c r="F90">
        <v>7</v>
      </c>
      <c r="G90" s="2">
        <v>4061</v>
      </c>
      <c r="H90" s="2">
        <v>28427</v>
      </c>
      <c r="I90">
        <v>54</v>
      </c>
      <c r="J90">
        <v>39</v>
      </c>
    </row>
    <row r="91" spans="1:10" x14ac:dyDescent="0.3">
      <c r="A91" t="s">
        <v>112</v>
      </c>
      <c r="B91">
        <v>28</v>
      </c>
      <c r="C91" t="s">
        <v>11</v>
      </c>
      <c r="D91" t="s">
        <v>23</v>
      </c>
      <c r="E91" t="s">
        <v>24</v>
      </c>
      <c r="F91">
        <v>14</v>
      </c>
      <c r="G91" s="2">
        <v>2323</v>
      </c>
      <c r="H91" s="2">
        <v>32522</v>
      </c>
      <c r="I91">
        <v>168</v>
      </c>
      <c r="J91">
        <v>36</v>
      </c>
    </row>
    <row r="92" spans="1:10" x14ac:dyDescent="0.3">
      <c r="A92" t="s">
        <v>113</v>
      </c>
      <c r="B92">
        <v>34</v>
      </c>
      <c r="C92" t="s">
        <v>11</v>
      </c>
      <c r="D92" t="s">
        <v>40</v>
      </c>
      <c r="E92" t="s">
        <v>18</v>
      </c>
      <c r="F92">
        <v>5</v>
      </c>
      <c r="G92" s="2">
        <v>2981</v>
      </c>
      <c r="H92" s="2">
        <v>14905</v>
      </c>
      <c r="I92">
        <v>81</v>
      </c>
      <c r="J92">
        <v>16</v>
      </c>
    </row>
    <row r="93" spans="1:10" x14ac:dyDescent="0.3">
      <c r="A93" t="s">
        <v>114</v>
      </c>
      <c r="B93">
        <v>25</v>
      </c>
      <c r="C93" t="s">
        <v>17</v>
      </c>
      <c r="D93" t="s">
        <v>23</v>
      </c>
      <c r="E93" t="s">
        <v>21</v>
      </c>
      <c r="F93">
        <v>12</v>
      </c>
      <c r="G93" s="2">
        <v>1610</v>
      </c>
      <c r="H93" s="2">
        <v>19320</v>
      </c>
      <c r="I93">
        <v>32</v>
      </c>
      <c r="J93">
        <v>26</v>
      </c>
    </row>
    <row r="94" spans="1:10" x14ac:dyDescent="0.3">
      <c r="A94" t="s">
        <v>115</v>
      </c>
      <c r="B94">
        <v>52</v>
      </c>
      <c r="C94" t="s">
        <v>17</v>
      </c>
      <c r="D94" t="s">
        <v>40</v>
      </c>
      <c r="E94" t="s">
        <v>21</v>
      </c>
      <c r="F94">
        <v>1</v>
      </c>
      <c r="G94" s="2">
        <v>1252</v>
      </c>
      <c r="H94" s="2">
        <v>1252</v>
      </c>
      <c r="I94">
        <v>108</v>
      </c>
      <c r="J94">
        <v>38</v>
      </c>
    </row>
    <row r="95" spans="1:10" x14ac:dyDescent="0.3">
      <c r="A95" t="s">
        <v>116</v>
      </c>
      <c r="B95">
        <v>52</v>
      </c>
      <c r="C95" t="s">
        <v>17</v>
      </c>
      <c r="D95" t="s">
        <v>23</v>
      </c>
      <c r="E95" t="s">
        <v>32</v>
      </c>
      <c r="F95">
        <v>7</v>
      </c>
      <c r="G95" s="2">
        <v>2355</v>
      </c>
      <c r="H95" s="2">
        <v>16485</v>
      </c>
      <c r="I95">
        <v>53</v>
      </c>
      <c r="J95">
        <v>29</v>
      </c>
    </row>
    <row r="96" spans="1:10" x14ac:dyDescent="0.3">
      <c r="A96" t="s">
        <v>117</v>
      </c>
      <c r="B96">
        <v>50</v>
      </c>
      <c r="C96" t="s">
        <v>11</v>
      </c>
      <c r="D96" t="s">
        <v>27</v>
      </c>
      <c r="E96" t="s">
        <v>32</v>
      </c>
      <c r="F96">
        <v>13</v>
      </c>
      <c r="G96" s="2">
        <v>1913</v>
      </c>
      <c r="H96" s="2">
        <v>24869</v>
      </c>
      <c r="I96">
        <v>83</v>
      </c>
      <c r="J96">
        <v>11</v>
      </c>
    </row>
    <row r="97" spans="1:10" x14ac:dyDescent="0.3">
      <c r="A97" t="s">
        <v>118</v>
      </c>
      <c r="B97">
        <v>22</v>
      </c>
      <c r="C97" t="s">
        <v>17</v>
      </c>
      <c r="D97" t="s">
        <v>12</v>
      </c>
      <c r="E97" t="s">
        <v>24</v>
      </c>
      <c r="F97">
        <v>7</v>
      </c>
      <c r="G97" s="2">
        <v>2835</v>
      </c>
      <c r="H97" s="2">
        <v>19845</v>
      </c>
      <c r="I97">
        <v>135</v>
      </c>
      <c r="J97">
        <v>40</v>
      </c>
    </row>
    <row r="98" spans="1:10" x14ac:dyDescent="0.3">
      <c r="A98" t="s">
        <v>119</v>
      </c>
      <c r="B98">
        <v>59</v>
      </c>
      <c r="C98" t="s">
        <v>11</v>
      </c>
      <c r="D98" t="s">
        <v>15</v>
      </c>
      <c r="E98" t="s">
        <v>24</v>
      </c>
      <c r="F98">
        <v>9</v>
      </c>
      <c r="G98" s="2">
        <v>811</v>
      </c>
      <c r="H98" s="2">
        <v>7299</v>
      </c>
      <c r="I98">
        <v>31</v>
      </c>
      <c r="J98">
        <v>18</v>
      </c>
    </row>
    <row r="99" spans="1:10" x14ac:dyDescent="0.3">
      <c r="A99" t="s">
        <v>120</v>
      </c>
      <c r="B99">
        <v>56</v>
      </c>
      <c r="C99" t="s">
        <v>17</v>
      </c>
      <c r="D99" t="s">
        <v>40</v>
      </c>
      <c r="E99" t="s">
        <v>13</v>
      </c>
      <c r="F99">
        <v>3</v>
      </c>
      <c r="G99" s="2">
        <v>4398</v>
      </c>
      <c r="H99" s="2">
        <v>13194</v>
      </c>
      <c r="I99">
        <v>134</v>
      </c>
      <c r="J99">
        <v>40</v>
      </c>
    </row>
    <row r="100" spans="1:10" x14ac:dyDescent="0.3">
      <c r="A100" t="s">
        <v>121</v>
      </c>
      <c r="B100">
        <v>58</v>
      </c>
      <c r="C100" t="s">
        <v>11</v>
      </c>
      <c r="D100" t="s">
        <v>40</v>
      </c>
      <c r="E100" t="s">
        <v>21</v>
      </c>
      <c r="F100">
        <v>9</v>
      </c>
      <c r="G100" s="2">
        <v>4445</v>
      </c>
      <c r="H100" s="2">
        <v>40005</v>
      </c>
      <c r="I100">
        <v>140</v>
      </c>
      <c r="J100">
        <v>23</v>
      </c>
    </row>
    <row r="101" spans="1:10" x14ac:dyDescent="0.3">
      <c r="A101" t="s">
        <v>122</v>
      </c>
      <c r="B101">
        <v>45</v>
      </c>
      <c r="C101" t="s">
        <v>17</v>
      </c>
      <c r="D101" t="s">
        <v>15</v>
      </c>
      <c r="E101" t="s">
        <v>18</v>
      </c>
      <c r="F101">
        <v>14</v>
      </c>
      <c r="G101" s="2">
        <v>3293</v>
      </c>
      <c r="H101" s="2">
        <v>46102</v>
      </c>
      <c r="I101">
        <v>147</v>
      </c>
      <c r="J101">
        <v>27</v>
      </c>
    </row>
  </sheetData>
  <autoFilter ref="A1:J10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0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8" width="21" customWidth="1"/>
    <col min="9" max="9" width="26" customWidth="1"/>
    <col min="10" max="10" width="21" customWidth="1"/>
    <col min="11" max="14" width="28" customWidth="1"/>
    <col min="15" max="15" width="17" customWidth="1"/>
    <col min="16" max="16" width="28" customWidth="1"/>
  </cols>
  <sheetData>
    <row r="1" spans="1:1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123</v>
      </c>
      <c r="L1" s="1" t="s">
        <v>124</v>
      </c>
      <c r="M1" s="1" t="s">
        <v>125</v>
      </c>
      <c r="N1" s="1" t="s">
        <v>126</v>
      </c>
      <c r="O1" s="1" t="s">
        <v>127</v>
      </c>
      <c r="P1" s="1" t="s">
        <v>128</v>
      </c>
    </row>
    <row r="2" spans="1:16" x14ac:dyDescent="0.3">
      <c r="A2" t="s">
        <v>10</v>
      </c>
      <c r="B2">
        <v>56</v>
      </c>
      <c r="C2" t="s">
        <v>11</v>
      </c>
      <c r="D2" t="s">
        <v>12</v>
      </c>
      <c r="E2" t="s">
        <v>13</v>
      </c>
      <c r="F2">
        <v>4</v>
      </c>
      <c r="G2" s="2">
        <v>4110</v>
      </c>
      <c r="H2" s="2">
        <v>16440</v>
      </c>
      <c r="I2">
        <v>147</v>
      </c>
      <c r="J2">
        <v>11</v>
      </c>
      <c r="K2">
        <f t="shared" ref="K2:K33" si="0">IF(I2&lt;=30,5,IF(I2&lt;=60,4,IF(I2&lt;=90,3,IF(I2&lt;=120,2,1))))</f>
        <v>1</v>
      </c>
      <c r="L2">
        <f t="shared" ref="L2:L33" si="1">IF(F2&gt;=13,5,IF(F2&gt;=10,4,IF(F2&gt;=7,3,IF(F2&gt;=4,2,1))))</f>
        <v>2</v>
      </c>
      <c r="M2">
        <f t="shared" ref="M2:M33" si="2">IF(H2&gt;=40000,5,IF(H2&gt;=25000,4,IF(H2&gt;=15000,3,IF(H2&gt;=7500,2,1))))</f>
        <v>3</v>
      </c>
      <c r="N2">
        <f t="shared" ref="N2:N33" si="3">IF(J2&gt;=PERCENTILE($J$2:$J$101,0.8),5,IF(J2&gt;=PERCENTILE($J$2:$J$101,0.6),4,IF(J2&gt;=PERCENTILE($J$2:$J$101,0.4),3,IF(J2&gt;=PERCENTILE($J$2:$J$101,0.2),2,1))))</f>
        <v>1</v>
      </c>
      <c r="O2">
        <f t="shared" ref="O2:O33" si="4">K2+L2+M2</f>
        <v>6</v>
      </c>
      <c r="P2" t="str">
        <f t="shared" ref="P2:P33" si="5">IF(AND(K2&gt;=4,L2&gt;=4,M2&gt;=4),"VIP",IF(AND(K2&gt;=4,L2&gt;=3),"Loyal",IF(AND(K2&gt;=4,L2&lt;3),"Potential",IF(AND(K2&lt;=2,L2&gt;=3),"At-Risk","Low-Value"))))</f>
        <v>Low-Value</v>
      </c>
    </row>
    <row r="3" spans="1:16" x14ac:dyDescent="0.3">
      <c r="A3" t="s">
        <v>14</v>
      </c>
      <c r="B3">
        <v>46</v>
      </c>
      <c r="C3" t="s">
        <v>11</v>
      </c>
      <c r="D3" t="s">
        <v>15</v>
      </c>
      <c r="E3" t="s">
        <v>13</v>
      </c>
      <c r="F3">
        <v>2</v>
      </c>
      <c r="G3" s="2">
        <v>2521</v>
      </c>
      <c r="H3" s="2">
        <v>5042</v>
      </c>
      <c r="I3">
        <v>163</v>
      </c>
      <c r="J3">
        <v>18</v>
      </c>
      <c r="K3">
        <f t="shared" si="0"/>
        <v>1</v>
      </c>
      <c r="L3">
        <f t="shared" si="1"/>
        <v>1</v>
      </c>
      <c r="M3">
        <f t="shared" si="2"/>
        <v>1</v>
      </c>
      <c r="N3">
        <f t="shared" si="3"/>
        <v>2</v>
      </c>
      <c r="O3">
        <f t="shared" si="4"/>
        <v>3</v>
      </c>
      <c r="P3" t="str">
        <f t="shared" si="5"/>
        <v>Low-Value</v>
      </c>
    </row>
    <row r="4" spans="1:16" x14ac:dyDescent="0.3">
      <c r="A4" t="s">
        <v>16</v>
      </c>
      <c r="B4">
        <v>32</v>
      </c>
      <c r="C4" t="s">
        <v>17</v>
      </c>
      <c r="D4" t="s">
        <v>15</v>
      </c>
      <c r="E4" t="s">
        <v>18</v>
      </c>
      <c r="F4">
        <v>4</v>
      </c>
      <c r="G4" s="2">
        <v>3806</v>
      </c>
      <c r="H4" s="2">
        <v>15224</v>
      </c>
      <c r="I4">
        <v>159</v>
      </c>
      <c r="J4">
        <v>21</v>
      </c>
      <c r="K4">
        <f t="shared" si="0"/>
        <v>1</v>
      </c>
      <c r="L4">
        <f t="shared" si="1"/>
        <v>2</v>
      </c>
      <c r="M4">
        <f t="shared" si="2"/>
        <v>3</v>
      </c>
      <c r="N4">
        <f t="shared" si="3"/>
        <v>2</v>
      </c>
      <c r="O4">
        <f t="shared" si="4"/>
        <v>6</v>
      </c>
      <c r="P4" t="str">
        <f t="shared" si="5"/>
        <v>Low-Value</v>
      </c>
    </row>
    <row r="5" spans="1:16" x14ac:dyDescent="0.3">
      <c r="A5" t="s">
        <v>19</v>
      </c>
      <c r="B5">
        <v>60</v>
      </c>
      <c r="C5" t="s">
        <v>17</v>
      </c>
      <c r="D5" t="s">
        <v>20</v>
      </c>
      <c r="E5" t="s">
        <v>21</v>
      </c>
      <c r="F5">
        <v>15</v>
      </c>
      <c r="G5" s="2">
        <v>1780</v>
      </c>
      <c r="H5" s="2">
        <v>26700</v>
      </c>
      <c r="I5">
        <v>143</v>
      </c>
      <c r="J5">
        <v>25</v>
      </c>
      <c r="K5">
        <f t="shared" si="0"/>
        <v>1</v>
      </c>
      <c r="L5">
        <f t="shared" si="1"/>
        <v>5</v>
      </c>
      <c r="M5">
        <f t="shared" si="2"/>
        <v>4</v>
      </c>
      <c r="N5">
        <f t="shared" si="3"/>
        <v>3</v>
      </c>
      <c r="O5">
        <f t="shared" si="4"/>
        <v>10</v>
      </c>
      <c r="P5" t="str">
        <f t="shared" si="5"/>
        <v>At-Risk</v>
      </c>
    </row>
    <row r="6" spans="1:16" x14ac:dyDescent="0.3">
      <c r="A6" t="s">
        <v>22</v>
      </c>
      <c r="B6">
        <v>25</v>
      </c>
      <c r="C6" t="s">
        <v>17</v>
      </c>
      <c r="D6" t="s">
        <v>23</v>
      </c>
      <c r="E6" t="s">
        <v>24</v>
      </c>
      <c r="F6">
        <v>10</v>
      </c>
      <c r="G6" s="2">
        <v>4082</v>
      </c>
      <c r="H6" s="2">
        <v>40820</v>
      </c>
      <c r="I6">
        <v>48</v>
      </c>
      <c r="J6">
        <v>6</v>
      </c>
      <c r="K6">
        <f t="shared" si="0"/>
        <v>4</v>
      </c>
      <c r="L6">
        <f t="shared" si="1"/>
        <v>4</v>
      </c>
      <c r="M6">
        <f t="shared" si="2"/>
        <v>5</v>
      </c>
      <c r="N6">
        <f t="shared" si="3"/>
        <v>1</v>
      </c>
      <c r="O6">
        <f t="shared" si="4"/>
        <v>13</v>
      </c>
      <c r="P6" t="str">
        <f t="shared" si="5"/>
        <v>VIP</v>
      </c>
    </row>
    <row r="7" spans="1:16" x14ac:dyDescent="0.3">
      <c r="A7" t="s">
        <v>25</v>
      </c>
      <c r="B7">
        <v>38</v>
      </c>
      <c r="C7" t="s">
        <v>17</v>
      </c>
      <c r="D7" t="s">
        <v>20</v>
      </c>
      <c r="E7" t="s">
        <v>21</v>
      </c>
      <c r="F7">
        <v>10</v>
      </c>
      <c r="G7" s="2">
        <v>2057</v>
      </c>
      <c r="H7" s="2">
        <v>20570</v>
      </c>
      <c r="I7">
        <v>37</v>
      </c>
      <c r="J7">
        <v>35</v>
      </c>
      <c r="K7">
        <f t="shared" si="0"/>
        <v>4</v>
      </c>
      <c r="L7">
        <f t="shared" si="1"/>
        <v>4</v>
      </c>
      <c r="M7">
        <f t="shared" si="2"/>
        <v>3</v>
      </c>
      <c r="N7">
        <f t="shared" si="3"/>
        <v>4</v>
      </c>
      <c r="O7">
        <f t="shared" si="4"/>
        <v>11</v>
      </c>
      <c r="P7" t="str">
        <f t="shared" si="5"/>
        <v>Loyal</v>
      </c>
    </row>
    <row r="8" spans="1:16" x14ac:dyDescent="0.3">
      <c r="A8" t="s">
        <v>26</v>
      </c>
      <c r="B8">
        <v>56</v>
      </c>
      <c r="C8" t="s">
        <v>11</v>
      </c>
      <c r="D8" t="s">
        <v>27</v>
      </c>
      <c r="E8" t="s">
        <v>24</v>
      </c>
      <c r="F8">
        <v>3</v>
      </c>
      <c r="G8" s="2">
        <v>543</v>
      </c>
      <c r="H8" s="2">
        <v>1629</v>
      </c>
      <c r="I8">
        <v>136</v>
      </c>
      <c r="J8">
        <v>7</v>
      </c>
      <c r="K8">
        <f t="shared" si="0"/>
        <v>1</v>
      </c>
      <c r="L8">
        <f t="shared" si="1"/>
        <v>1</v>
      </c>
      <c r="M8">
        <f t="shared" si="2"/>
        <v>1</v>
      </c>
      <c r="N8">
        <f t="shared" si="3"/>
        <v>1</v>
      </c>
      <c r="O8">
        <f t="shared" si="4"/>
        <v>3</v>
      </c>
      <c r="P8" t="str">
        <f t="shared" si="5"/>
        <v>Low-Value</v>
      </c>
    </row>
    <row r="9" spans="1:16" x14ac:dyDescent="0.3">
      <c r="A9" t="s">
        <v>28</v>
      </c>
      <c r="B9">
        <v>36</v>
      </c>
      <c r="C9" t="s">
        <v>11</v>
      </c>
      <c r="D9" t="s">
        <v>12</v>
      </c>
      <c r="E9" t="s">
        <v>24</v>
      </c>
      <c r="F9">
        <v>10</v>
      </c>
      <c r="G9" s="2">
        <v>4122</v>
      </c>
      <c r="H9" s="2">
        <v>41220</v>
      </c>
      <c r="I9">
        <v>84</v>
      </c>
      <c r="J9">
        <v>3</v>
      </c>
      <c r="K9">
        <f t="shared" si="0"/>
        <v>3</v>
      </c>
      <c r="L9">
        <f t="shared" si="1"/>
        <v>4</v>
      </c>
      <c r="M9">
        <f t="shared" si="2"/>
        <v>5</v>
      </c>
      <c r="N9">
        <f t="shared" si="3"/>
        <v>1</v>
      </c>
      <c r="O9">
        <f t="shared" si="4"/>
        <v>12</v>
      </c>
      <c r="P9" t="str">
        <f t="shared" si="5"/>
        <v>Low-Value</v>
      </c>
    </row>
    <row r="10" spans="1:16" x14ac:dyDescent="0.3">
      <c r="A10" t="s">
        <v>29</v>
      </c>
      <c r="B10">
        <v>40</v>
      </c>
      <c r="C10" t="s">
        <v>11</v>
      </c>
      <c r="D10" t="s">
        <v>20</v>
      </c>
      <c r="E10" t="s">
        <v>24</v>
      </c>
      <c r="F10">
        <v>1</v>
      </c>
      <c r="G10" s="2">
        <v>865</v>
      </c>
      <c r="H10" s="2">
        <v>865</v>
      </c>
      <c r="I10">
        <v>117</v>
      </c>
      <c r="J10">
        <v>14</v>
      </c>
      <c r="K10">
        <f t="shared" si="0"/>
        <v>2</v>
      </c>
      <c r="L10">
        <f t="shared" si="1"/>
        <v>1</v>
      </c>
      <c r="M10">
        <f t="shared" si="2"/>
        <v>1</v>
      </c>
      <c r="N10">
        <f t="shared" si="3"/>
        <v>2</v>
      </c>
      <c r="O10">
        <f t="shared" si="4"/>
        <v>4</v>
      </c>
      <c r="P10" t="str">
        <f t="shared" si="5"/>
        <v>Low-Value</v>
      </c>
    </row>
    <row r="11" spans="1:16" x14ac:dyDescent="0.3">
      <c r="A11" t="s">
        <v>30</v>
      </c>
      <c r="B11">
        <v>28</v>
      </c>
      <c r="C11" t="s">
        <v>17</v>
      </c>
      <c r="D11" t="s">
        <v>15</v>
      </c>
      <c r="E11" t="s">
        <v>24</v>
      </c>
      <c r="F11">
        <v>8</v>
      </c>
      <c r="G11" s="2">
        <v>1777</v>
      </c>
      <c r="H11" s="2">
        <v>14216</v>
      </c>
      <c r="I11">
        <v>49</v>
      </c>
      <c r="J11">
        <v>44</v>
      </c>
      <c r="K11">
        <f t="shared" si="0"/>
        <v>4</v>
      </c>
      <c r="L11">
        <f t="shared" si="1"/>
        <v>3</v>
      </c>
      <c r="M11">
        <f t="shared" si="2"/>
        <v>2</v>
      </c>
      <c r="N11">
        <f t="shared" si="3"/>
        <v>5</v>
      </c>
      <c r="O11">
        <f t="shared" si="4"/>
        <v>9</v>
      </c>
      <c r="P11" t="str">
        <f t="shared" si="5"/>
        <v>Loyal</v>
      </c>
    </row>
    <row r="12" spans="1:16" x14ac:dyDescent="0.3">
      <c r="A12" t="s">
        <v>31</v>
      </c>
      <c r="B12">
        <v>28</v>
      </c>
      <c r="C12" t="s">
        <v>17</v>
      </c>
      <c r="D12" t="s">
        <v>12</v>
      </c>
      <c r="E12" t="s">
        <v>32</v>
      </c>
      <c r="F12">
        <v>5</v>
      </c>
      <c r="G12" s="2">
        <v>4300</v>
      </c>
      <c r="H12" s="2">
        <v>21500</v>
      </c>
      <c r="I12">
        <v>155</v>
      </c>
      <c r="J12">
        <v>44</v>
      </c>
      <c r="K12">
        <f t="shared" si="0"/>
        <v>1</v>
      </c>
      <c r="L12">
        <f t="shared" si="1"/>
        <v>2</v>
      </c>
      <c r="M12">
        <f t="shared" si="2"/>
        <v>3</v>
      </c>
      <c r="N12">
        <f t="shared" si="3"/>
        <v>5</v>
      </c>
      <c r="O12">
        <f t="shared" si="4"/>
        <v>6</v>
      </c>
      <c r="P12" t="str">
        <f t="shared" si="5"/>
        <v>Low-Value</v>
      </c>
    </row>
    <row r="13" spans="1:16" x14ac:dyDescent="0.3">
      <c r="A13" t="s">
        <v>33</v>
      </c>
      <c r="B13">
        <v>41</v>
      </c>
      <c r="C13" t="s">
        <v>11</v>
      </c>
      <c r="D13" t="s">
        <v>12</v>
      </c>
      <c r="E13" t="s">
        <v>18</v>
      </c>
      <c r="F13">
        <v>13</v>
      </c>
      <c r="G13" s="2">
        <v>4302</v>
      </c>
      <c r="H13" s="2">
        <v>55926</v>
      </c>
      <c r="I13">
        <v>12</v>
      </c>
      <c r="J13">
        <v>49</v>
      </c>
      <c r="K13">
        <f t="shared" si="0"/>
        <v>5</v>
      </c>
      <c r="L13">
        <f t="shared" si="1"/>
        <v>5</v>
      </c>
      <c r="M13">
        <f t="shared" si="2"/>
        <v>5</v>
      </c>
      <c r="N13">
        <f t="shared" si="3"/>
        <v>5</v>
      </c>
      <c r="O13">
        <f t="shared" si="4"/>
        <v>15</v>
      </c>
      <c r="P13" t="str">
        <f t="shared" si="5"/>
        <v>VIP</v>
      </c>
    </row>
    <row r="14" spans="1:16" x14ac:dyDescent="0.3">
      <c r="A14" t="s">
        <v>34</v>
      </c>
      <c r="B14">
        <v>53</v>
      </c>
      <c r="C14" t="s">
        <v>11</v>
      </c>
      <c r="D14" t="s">
        <v>15</v>
      </c>
      <c r="E14" t="s">
        <v>21</v>
      </c>
      <c r="F14">
        <v>4</v>
      </c>
      <c r="G14" s="2">
        <v>2794</v>
      </c>
      <c r="H14" s="2">
        <v>11176</v>
      </c>
      <c r="I14">
        <v>58</v>
      </c>
      <c r="J14">
        <v>12</v>
      </c>
      <c r="K14">
        <f t="shared" si="0"/>
        <v>4</v>
      </c>
      <c r="L14">
        <f t="shared" si="1"/>
        <v>2</v>
      </c>
      <c r="M14">
        <f t="shared" si="2"/>
        <v>2</v>
      </c>
      <c r="N14">
        <f t="shared" si="3"/>
        <v>2</v>
      </c>
      <c r="O14">
        <f t="shared" si="4"/>
        <v>8</v>
      </c>
      <c r="P14" t="str">
        <f t="shared" si="5"/>
        <v>Potential</v>
      </c>
    </row>
    <row r="15" spans="1:16" x14ac:dyDescent="0.3">
      <c r="A15" t="s">
        <v>35</v>
      </c>
      <c r="B15">
        <v>57</v>
      </c>
      <c r="C15" t="s">
        <v>11</v>
      </c>
      <c r="D15" t="s">
        <v>20</v>
      </c>
      <c r="E15" t="s">
        <v>21</v>
      </c>
      <c r="F15">
        <v>8</v>
      </c>
      <c r="G15" s="2">
        <v>3027</v>
      </c>
      <c r="H15" s="2">
        <v>24216</v>
      </c>
      <c r="I15">
        <v>32</v>
      </c>
      <c r="J15">
        <v>48</v>
      </c>
      <c r="K15">
        <f t="shared" si="0"/>
        <v>4</v>
      </c>
      <c r="L15">
        <f t="shared" si="1"/>
        <v>3</v>
      </c>
      <c r="M15">
        <f t="shared" si="2"/>
        <v>3</v>
      </c>
      <c r="N15">
        <f t="shared" si="3"/>
        <v>5</v>
      </c>
      <c r="O15">
        <f t="shared" si="4"/>
        <v>10</v>
      </c>
      <c r="P15" t="str">
        <f t="shared" si="5"/>
        <v>Loyal</v>
      </c>
    </row>
    <row r="16" spans="1:16" x14ac:dyDescent="0.3">
      <c r="A16" t="s">
        <v>36</v>
      </c>
      <c r="B16">
        <v>41</v>
      </c>
      <c r="C16" t="s">
        <v>11</v>
      </c>
      <c r="D16" t="s">
        <v>15</v>
      </c>
      <c r="E16" t="s">
        <v>13</v>
      </c>
      <c r="F16">
        <v>7</v>
      </c>
      <c r="G16" s="2">
        <v>2294</v>
      </c>
      <c r="H16" s="2">
        <v>16058</v>
      </c>
      <c r="I16">
        <v>111</v>
      </c>
      <c r="J16">
        <v>24</v>
      </c>
      <c r="K16">
        <f t="shared" si="0"/>
        <v>2</v>
      </c>
      <c r="L16">
        <f t="shared" si="1"/>
        <v>3</v>
      </c>
      <c r="M16">
        <f t="shared" si="2"/>
        <v>3</v>
      </c>
      <c r="N16">
        <f t="shared" si="3"/>
        <v>3</v>
      </c>
      <c r="O16">
        <f t="shared" si="4"/>
        <v>8</v>
      </c>
      <c r="P16" t="str">
        <f t="shared" si="5"/>
        <v>At-Risk</v>
      </c>
    </row>
    <row r="17" spans="1:16" x14ac:dyDescent="0.3">
      <c r="A17" t="s">
        <v>37</v>
      </c>
      <c r="B17">
        <v>20</v>
      </c>
      <c r="C17" t="s">
        <v>17</v>
      </c>
      <c r="D17" t="s">
        <v>23</v>
      </c>
      <c r="E17" t="s">
        <v>24</v>
      </c>
      <c r="F17">
        <v>2</v>
      </c>
      <c r="G17" s="2">
        <v>1673</v>
      </c>
      <c r="H17" s="2">
        <v>3346</v>
      </c>
      <c r="I17">
        <v>7</v>
      </c>
      <c r="J17">
        <v>17</v>
      </c>
      <c r="K17">
        <f t="shared" si="0"/>
        <v>5</v>
      </c>
      <c r="L17">
        <f t="shared" si="1"/>
        <v>1</v>
      </c>
      <c r="M17">
        <f t="shared" si="2"/>
        <v>1</v>
      </c>
      <c r="N17">
        <f t="shared" si="3"/>
        <v>2</v>
      </c>
      <c r="O17">
        <f t="shared" si="4"/>
        <v>7</v>
      </c>
      <c r="P17" t="str">
        <f t="shared" si="5"/>
        <v>Potential</v>
      </c>
    </row>
    <row r="18" spans="1:16" x14ac:dyDescent="0.3">
      <c r="A18" t="s">
        <v>38</v>
      </c>
      <c r="B18">
        <v>39</v>
      </c>
      <c r="C18" t="s">
        <v>17</v>
      </c>
      <c r="D18" t="s">
        <v>12</v>
      </c>
      <c r="E18" t="s">
        <v>24</v>
      </c>
      <c r="F18">
        <v>1</v>
      </c>
      <c r="G18" s="2">
        <v>1815</v>
      </c>
      <c r="H18" s="2">
        <v>1815</v>
      </c>
      <c r="I18">
        <v>121</v>
      </c>
      <c r="J18">
        <v>32</v>
      </c>
      <c r="K18">
        <f t="shared" si="0"/>
        <v>1</v>
      </c>
      <c r="L18">
        <f t="shared" si="1"/>
        <v>1</v>
      </c>
      <c r="M18">
        <f t="shared" si="2"/>
        <v>1</v>
      </c>
      <c r="N18">
        <f t="shared" si="3"/>
        <v>4</v>
      </c>
      <c r="O18">
        <f t="shared" si="4"/>
        <v>3</v>
      </c>
      <c r="P18" t="str">
        <f t="shared" si="5"/>
        <v>Low-Value</v>
      </c>
    </row>
    <row r="19" spans="1:16" x14ac:dyDescent="0.3">
      <c r="A19" t="s">
        <v>39</v>
      </c>
      <c r="B19">
        <v>19</v>
      </c>
      <c r="C19" t="s">
        <v>17</v>
      </c>
      <c r="D19" t="s">
        <v>40</v>
      </c>
      <c r="E19" t="s">
        <v>24</v>
      </c>
      <c r="F19">
        <v>12</v>
      </c>
      <c r="G19" s="2">
        <v>3190</v>
      </c>
      <c r="H19" s="2">
        <v>38280</v>
      </c>
      <c r="I19">
        <v>35</v>
      </c>
      <c r="J19">
        <v>12</v>
      </c>
      <c r="K19">
        <f t="shared" si="0"/>
        <v>4</v>
      </c>
      <c r="L19">
        <f t="shared" si="1"/>
        <v>4</v>
      </c>
      <c r="M19">
        <f t="shared" si="2"/>
        <v>4</v>
      </c>
      <c r="N19">
        <f t="shared" si="3"/>
        <v>2</v>
      </c>
      <c r="O19">
        <f t="shared" si="4"/>
        <v>12</v>
      </c>
      <c r="P19" t="str">
        <f t="shared" si="5"/>
        <v>VIP</v>
      </c>
    </row>
    <row r="20" spans="1:16" x14ac:dyDescent="0.3">
      <c r="A20" t="s">
        <v>41</v>
      </c>
      <c r="B20">
        <v>41</v>
      </c>
      <c r="C20" t="s">
        <v>17</v>
      </c>
      <c r="D20" t="s">
        <v>40</v>
      </c>
      <c r="E20" t="s">
        <v>24</v>
      </c>
      <c r="F20">
        <v>11</v>
      </c>
      <c r="G20" s="2">
        <v>3509</v>
      </c>
      <c r="H20" s="2">
        <v>38599</v>
      </c>
      <c r="I20">
        <v>120</v>
      </c>
      <c r="J20">
        <v>17</v>
      </c>
      <c r="K20">
        <f t="shared" si="0"/>
        <v>2</v>
      </c>
      <c r="L20">
        <f t="shared" si="1"/>
        <v>4</v>
      </c>
      <c r="M20">
        <f t="shared" si="2"/>
        <v>4</v>
      </c>
      <c r="N20">
        <f t="shared" si="3"/>
        <v>2</v>
      </c>
      <c r="O20">
        <f t="shared" si="4"/>
        <v>10</v>
      </c>
      <c r="P20" t="str">
        <f t="shared" si="5"/>
        <v>At-Risk</v>
      </c>
    </row>
    <row r="21" spans="1:16" x14ac:dyDescent="0.3">
      <c r="A21" t="s">
        <v>42</v>
      </c>
      <c r="B21">
        <v>47</v>
      </c>
      <c r="C21" t="s">
        <v>17</v>
      </c>
      <c r="D21" t="s">
        <v>27</v>
      </c>
      <c r="E21" t="s">
        <v>32</v>
      </c>
      <c r="F21">
        <v>4</v>
      </c>
      <c r="G21" s="2">
        <v>3666</v>
      </c>
      <c r="H21" s="2">
        <v>14664</v>
      </c>
      <c r="I21">
        <v>67</v>
      </c>
      <c r="J21">
        <v>9</v>
      </c>
      <c r="K21">
        <f t="shared" si="0"/>
        <v>3</v>
      </c>
      <c r="L21">
        <f t="shared" si="1"/>
        <v>2</v>
      </c>
      <c r="M21">
        <f t="shared" si="2"/>
        <v>2</v>
      </c>
      <c r="N21">
        <f t="shared" si="3"/>
        <v>1</v>
      </c>
      <c r="O21">
        <f t="shared" si="4"/>
        <v>7</v>
      </c>
      <c r="P21" t="str">
        <f t="shared" si="5"/>
        <v>Low-Value</v>
      </c>
    </row>
    <row r="22" spans="1:16" x14ac:dyDescent="0.3">
      <c r="A22" t="s">
        <v>43</v>
      </c>
      <c r="B22">
        <v>55</v>
      </c>
      <c r="C22" t="s">
        <v>17</v>
      </c>
      <c r="D22" t="s">
        <v>15</v>
      </c>
      <c r="E22" t="s">
        <v>21</v>
      </c>
      <c r="F22">
        <v>8</v>
      </c>
      <c r="G22" s="2">
        <v>3658</v>
      </c>
      <c r="H22" s="2">
        <v>29264</v>
      </c>
      <c r="I22">
        <v>148</v>
      </c>
      <c r="J22">
        <v>5</v>
      </c>
      <c r="K22">
        <f t="shared" si="0"/>
        <v>1</v>
      </c>
      <c r="L22">
        <f t="shared" si="1"/>
        <v>3</v>
      </c>
      <c r="M22">
        <f t="shared" si="2"/>
        <v>4</v>
      </c>
      <c r="N22">
        <f t="shared" si="3"/>
        <v>1</v>
      </c>
      <c r="O22">
        <f t="shared" si="4"/>
        <v>8</v>
      </c>
      <c r="P22" t="str">
        <f t="shared" si="5"/>
        <v>At-Risk</v>
      </c>
    </row>
    <row r="23" spans="1:16" x14ac:dyDescent="0.3">
      <c r="A23" t="s">
        <v>44</v>
      </c>
      <c r="B23">
        <v>19</v>
      </c>
      <c r="C23" t="s">
        <v>11</v>
      </c>
      <c r="D23" t="s">
        <v>15</v>
      </c>
      <c r="E23" t="s">
        <v>32</v>
      </c>
      <c r="F23">
        <v>12</v>
      </c>
      <c r="G23" s="2">
        <v>865</v>
      </c>
      <c r="H23" s="2">
        <v>10380</v>
      </c>
      <c r="I23">
        <v>179</v>
      </c>
      <c r="J23">
        <v>41</v>
      </c>
      <c r="K23">
        <f t="shared" si="0"/>
        <v>1</v>
      </c>
      <c r="L23">
        <f t="shared" si="1"/>
        <v>4</v>
      </c>
      <c r="M23">
        <f t="shared" si="2"/>
        <v>2</v>
      </c>
      <c r="N23">
        <f t="shared" si="3"/>
        <v>4</v>
      </c>
      <c r="O23">
        <f t="shared" si="4"/>
        <v>7</v>
      </c>
      <c r="P23" t="str">
        <f t="shared" si="5"/>
        <v>At-Risk</v>
      </c>
    </row>
    <row r="24" spans="1:16" x14ac:dyDescent="0.3">
      <c r="A24" t="s">
        <v>45</v>
      </c>
      <c r="B24">
        <v>38</v>
      </c>
      <c r="C24" t="s">
        <v>17</v>
      </c>
      <c r="D24" t="s">
        <v>27</v>
      </c>
      <c r="E24" t="s">
        <v>13</v>
      </c>
      <c r="F24">
        <v>2</v>
      </c>
      <c r="G24" s="2">
        <v>2478</v>
      </c>
      <c r="H24" s="2">
        <v>4956</v>
      </c>
      <c r="I24">
        <v>13</v>
      </c>
      <c r="J24">
        <v>5</v>
      </c>
      <c r="K24">
        <f t="shared" si="0"/>
        <v>5</v>
      </c>
      <c r="L24">
        <f t="shared" si="1"/>
        <v>1</v>
      </c>
      <c r="M24">
        <f t="shared" si="2"/>
        <v>1</v>
      </c>
      <c r="N24">
        <f t="shared" si="3"/>
        <v>1</v>
      </c>
      <c r="O24">
        <f t="shared" si="4"/>
        <v>7</v>
      </c>
      <c r="P24" t="str">
        <f t="shared" si="5"/>
        <v>Potential</v>
      </c>
    </row>
    <row r="25" spans="1:16" x14ac:dyDescent="0.3">
      <c r="A25" t="s">
        <v>46</v>
      </c>
      <c r="B25">
        <v>50</v>
      </c>
      <c r="C25" t="s">
        <v>17</v>
      </c>
      <c r="D25" t="s">
        <v>27</v>
      </c>
      <c r="E25" t="s">
        <v>24</v>
      </c>
      <c r="F25">
        <v>3</v>
      </c>
      <c r="G25" s="2">
        <v>730</v>
      </c>
      <c r="H25" s="2">
        <v>2190</v>
      </c>
      <c r="I25">
        <v>87</v>
      </c>
      <c r="J25">
        <v>26</v>
      </c>
      <c r="K25">
        <f t="shared" si="0"/>
        <v>3</v>
      </c>
      <c r="L25">
        <f t="shared" si="1"/>
        <v>1</v>
      </c>
      <c r="M25">
        <f t="shared" si="2"/>
        <v>1</v>
      </c>
      <c r="N25">
        <f t="shared" si="3"/>
        <v>3</v>
      </c>
      <c r="O25">
        <f t="shared" si="4"/>
        <v>5</v>
      </c>
      <c r="P25" t="str">
        <f t="shared" si="5"/>
        <v>Low-Value</v>
      </c>
    </row>
    <row r="26" spans="1:16" x14ac:dyDescent="0.3">
      <c r="A26" t="s">
        <v>47</v>
      </c>
      <c r="B26">
        <v>29</v>
      </c>
      <c r="C26" t="s">
        <v>11</v>
      </c>
      <c r="D26" t="s">
        <v>27</v>
      </c>
      <c r="E26" t="s">
        <v>24</v>
      </c>
      <c r="F26">
        <v>12</v>
      </c>
      <c r="G26" s="2">
        <v>2698</v>
      </c>
      <c r="H26" s="2">
        <v>32376</v>
      </c>
      <c r="I26">
        <v>28</v>
      </c>
      <c r="J26">
        <v>4</v>
      </c>
      <c r="K26">
        <f t="shared" si="0"/>
        <v>5</v>
      </c>
      <c r="L26">
        <f t="shared" si="1"/>
        <v>4</v>
      </c>
      <c r="M26">
        <f t="shared" si="2"/>
        <v>4</v>
      </c>
      <c r="N26">
        <f t="shared" si="3"/>
        <v>1</v>
      </c>
      <c r="O26">
        <f t="shared" si="4"/>
        <v>13</v>
      </c>
      <c r="P26" t="str">
        <f t="shared" si="5"/>
        <v>VIP</v>
      </c>
    </row>
    <row r="27" spans="1:16" x14ac:dyDescent="0.3">
      <c r="A27" t="s">
        <v>48</v>
      </c>
      <c r="B27">
        <v>39</v>
      </c>
      <c r="C27" t="s">
        <v>17</v>
      </c>
      <c r="D27" t="s">
        <v>12</v>
      </c>
      <c r="E27" t="s">
        <v>24</v>
      </c>
      <c r="F27">
        <v>1</v>
      </c>
      <c r="G27" s="2">
        <v>2266</v>
      </c>
      <c r="H27" s="2">
        <v>2266</v>
      </c>
      <c r="I27">
        <v>65</v>
      </c>
      <c r="J27">
        <v>33</v>
      </c>
      <c r="K27">
        <f t="shared" si="0"/>
        <v>3</v>
      </c>
      <c r="L27">
        <f t="shared" si="1"/>
        <v>1</v>
      </c>
      <c r="M27">
        <f t="shared" si="2"/>
        <v>1</v>
      </c>
      <c r="N27">
        <f t="shared" si="3"/>
        <v>4</v>
      </c>
      <c r="O27">
        <f t="shared" si="4"/>
        <v>5</v>
      </c>
      <c r="P27" t="str">
        <f t="shared" si="5"/>
        <v>Low-Value</v>
      </c>
    </row>
    <row r="28" spans="1:16" x14ac:dyDescent="0.3">
      <c r="A28" t="s">
        <v>49</v>
      </c>
      <c r="B28">
        <v>42</v>
      </c>
      <c r="C28" t="s">
        <v>17</v>
      </c>
      <c r="D28" t="s">
        <v>23</v>
      </c>
      <c r="E28" t="s">
        <v>13</v>
      </c>
      <c r="F28">
        <v>1</v>
      </c>
      <c r="G28" s="2">
        <v>4051</v>
      </c>
      <c r="H28" s="2">
        <v>4051</v>
      </c>
      <c r="I28">
        <v>88</v>
      </c>
      <c r="J28">
        <v>4</v>
      </c>
      <c r="K28">
        <f t="shared" si="0"/>
        <v>3</v>
      </c>
      <c r="L28">
        <f t="shared" si="1"/>
        <v>1</v>
      </c>
      <c r="M28">
        <f t="shared" si="2"/>
        <v>1</v>
      </c>
      <c r="N28">
        <f t="shared" si="3"/>
        <v>1</v>
      </c>
      <c r="O28">
        <f t="shared" si="4"/>
        <v>5</v>
      </c>
      <c r="P28" t="str">
        <f t="shared" si="5"/>
        <v>Low-Value</v>
      </c>
    </row>
    <row r="29" spans="1:16" x14ac:dyDescent="0.3">
      <c r="A29" t="s">
        <v>50</v>
      </c>
      <c r="B29">
        <v>44</v>
      </c>
      <c r="C29" t="s">
        <v>11</v>
      </c>
      <c r="D29" t="s">
        <v>15</v>
      </c>
      <c r="E29" t="s">
        <v>21</v>
      </c>
      <c r="F29">
        <v>13</v>
      </c>
      <c r="G29" s="2">
        <v>1904</v>
      </c>
      <c r="H29" s="2">
        <v>24752</v>
      </c>
      <c r="I29">
        <v>61</v>
      </c>
      <c r="J29">
        <v>28</v>
      </c>
      <c r="K29">
        <f t="shared" si="0"/>
        <v>3</v>
      </c>
      <c r="L29">
        <f t="shared" si="1"/>
        <v>5</v>
      </c>
      <c r="M29">
        <f t="shared" si="2"/>
        <v>3</v>
      </c>
      <c r="N29">
        <f t="shared" si="3"/>
        <v>4</v>
      </c>
      <c r="O29">
        <f t="shared" si="4"/>
        <v>11</v>
      </c>
      <c r="P29" t="str">
        <f t="shared" si="5"/>
        <v>Low-Value</v>
      </c>
    </row>
    <row r="30" spans="1:16" x14ac:dyDescent="0.3">
      <c r="A30" t="s">
        <v>51</v>
      </c>
      <c r="B30">
        <v>59</v>
      </c>
      <c r="C30" t="s">
        <v>17</v>
      </c>
      <c r="D30" t="s">
        <v>12</v>
      </c>
      <c r="E30" t="s">
        <v>21</v>
      </c>
      <c r="F30">
        <v>3</v>
      </c>
      <c r="G30" s="2">
        <v>968</v>
      </c>
      <c r="H30" s="2">
        <v>2904</v>
      </c>
      <c r="I30">
        <v>29</v>
      </c>
      <c r="J30">
        <v>30</v>
      </c>
      <c r="K30">
        <f t="shared" si="0"/>
        <v>5</v>
      </c>
      <c r="L30">
        <f t="shared" si="1"/>
        <v>1</v>
      </c>
      <c r="M30">
        <f t="shared" si="2"/>
        <v>1</v>
      </c>
      <c r="N30">
        <f t="shared" si="3"/>
        <v>4</v>
      </c>
      <c r="O30">
        <f t="shared" si="4"/>
        <v>7</v>
      </c>
      <c r="P30" t="str">
        <f t="shared" si="5"/>
        <v>Potential</v>
      </c>
    </row>
    <row r="31" spans="1:16" x14ac:dyDescent="0.3">
      <c r="A31" t="s">
        <v>52</v>
      </c>
      <c r="B31">
        <v>45</v>
      </c>
      <c r="C31" t="s">
        <v>17</v>
      </c>
      <c r="D31" t="s">
        <v>27</v>
      </c>
      <c r="E31" t="s">
        <v>13</v>
      </c>
      <c r="F31">
        <v>11</v>
      </c>
      <c r="G31" s="2">
        <v>1072</v>
      </c>
      <c r="H31" s="2">
        <v>11792</v>
      </c>
      <c r="I31">
        <v>179</v>
      </c>
      <c r="J31">
        <v>33</v>
      </c>
      <c r="K31">
        <f t="shared" si="0"/>
        <v>1</v>
      </c>
      <c r="L31">
        <f t="shared" si="1"/>
        <v>4</v>
      </c>
      <c r="M31">
        <f t="shared" si="2"/>
        <v>2</v>
      </c>
      <c r="N31">
        <f t="shared" si="3"/>
        <v>4</v>
      </c>
      <c r="O31">
        <f t="shared" si="4"/>
        <v>7</v>
      </c>
      <c r="P31" t="str">
        <f t="shared" si="5"/>
        <v>At-Risk</v>
      </c>
    </row>
    <row r="32" spans="1:16" x14ac:dyDescent="0.3">
      <c r="A32" t="s">
        <v>53</v>
      </c>
      <c r="B32">
        <v>33</v>
      </c>
      <c r="C32" t="s">
        <v>17</v>
      </c>
      <c r="D32" t="s">
        <v>15</v>
      </c>
      <c r="E32" t="s">
        <v>21</v>
      </c>
      <c r="F32">
        <v>5</v>
      </c>
      <c r="G32" s="2">
        <v>3546</v>
      </c>
      <c r="H32" s="2">
        <v>17730</v>
      </c>
      <c r="I32">
        <v>163</v>
      </c>
      <c r="J32">
        <v>20</v>
      </c>
      <c r="K32">
        <f t="shared" si="0"/>
        <v>1</v>
      </c>
      <c r="L32">
        <f t="shared" si="1"/>
        <v>2</v>
      </c>
      <c r="M32">
        <f t="shared" si="2"/>
        <v>3</v>
      </c>
      <c r="N32">
        <f t="shared" si="3"/>
        <v>2</v>
      </c>
      <c r="O32">
        <f t="shared" si="4"/>
        <v>6</v>
      </c>
      <c r="P32" t="str">
        <f t="shared" si="5"/>
        <v>Low-Value</v>
      </c>
    </row>
    <row r="33" spans="1:16" x14ac:dyDescent="0.3">
      <c r="A33" t="s">
        <v>54</v>
      </c>
      <c r="B33">
        <v>32</v>
      </c>
      <c r="C33" t="s">
        <v>17</v>
      </c>
      <c r="D33" t="s">
        <v>12</v>
      </c>
      <c r="E33" t="s">
        <v>21</v>
      </c>
      <c r="F33">
        <v>12</v>
      </c>
      <c r="G33" s="2">
        <v>2973</v>
      </c>
      <c r="H33" s="2">
        <v>35676</v>
      </c>
      <c r="I33">
        <v>100</v>
      </c>
      <c r="J33">
        <v>22</v>
      </c>
      <c r="K33">
        <f t="shared" si="0"/>
        <v>2</v>
      </c>
      <c r="L33">
        <f t="shared" si="1"/>
        <v>4</v>
      </c>
      <c r="M33">
        <f t="shared" si="2"/>
        <v>4</v>
      </c>
      <c r="N33">
        <f t="shared" si="3"/>
        <v>3</v>
      </c>
      <c r="O33">
        <f t="shared" si="4"/>
        <v>10</v>
      </c>
      <c r="P33" t="str">
        <f t="shared" si="5"/>
        <v>At-Risk</v>
      </c>
    </row>
    <row r="34" spans="1:16" x14ac:dyDescent="0.3">
      <c r="A34" t="s">
        <v>55</v>
      </c>
      <c r="B34">
        <v>20</v>
      </c>
      <c r="C34" t="s">
        <v>11</v>
      </c>
      <c r="D34" t="s">
        <v>23</v>
      </c>
      <c r="E34" t="s">
        <v>24</v>
      </c>
      <c r="F34">
        <v>3</v>
      </c>
      <c r="G34" s="2">
        <v>904</v>
      </c>
      <c r="H34" s="2">
        <v>2712</v>
      </c>
      <c r="I34">
        <v>107</v>
      </c>
      <c r="J34">
        <v>6</v>
      </c>
      <c r="K34">
        <f t="shared" ref="K34:K65" si="6">IF(I34&lt;=30,5,IF(I34&lt;=60,4,IF(I34&lt;=90,3,IF(I34&lt;=120,2,1))))</f>
        <v>2</v>
      </c>
      <c r="L34">
        <f t="shared" ref="L34:L65" si="7">IF(F34&gt;=13,5,IF(F34&gt;=10,4,IF(F34&gt;=7,3,IF(F34&gt;=4,2,1))))</f>
        <v>1</v>
      </c>
      <c r="M34">
        <f t="shared" ref="M34:M65" si="8">IF(H34&gt;=40000,5,IF(H34&gt;=25000,4,IF(H34&gt;=15000,3,IF(H34&gt;=7500,2,1))))</f>
        <v>1</v>
      </c>
      <c r="N34">
        <f t="shared" ref="N34:N65" si="9">IF(J34&gt;=PERCENTILE($J$2:$J$101,0.8),5,IF(J34&gt;=PERCENTILE($J$2:$J$101,0.6),4,IF(J34&gt;=PERCENTILE($J$2:$J$101,0.4),3,IF(J34&gt;=PERCENTILE($J$2:$J$101,0.2),2,1))))</f>
        <v>1</v>
      </c>
      <c r="O34">
        <f t="shared" ref="O34:O65" si="10">K34+L34+M34</f>
        <v>4</v>
      </c>
      <c r="P34" t="str">
        <f t="shared" ref="P34:P65" si="11">IF(AND(K34&gt;=4,L34&gt;=4,M34&gt;=4),"VIP",IF(AND(K34&gt;=4,L34&gt;=3),"Loyal",IF(AND(K34&gt;=4,L34&lt;3),"Potential",IF(AND(K34&lt;=2,L34&gt;=3),"At-Risk","Low-Value"))))</f>
        <v>Low-Value</v>
      </c>
    </row>
    <row r="35" spans="1:16" x14ac:dyDescent="0.3">
      <c r="A35" t="s">
        <v>56</v>
      </c>
      <c r="B35">
        <v>54</v>
      </c>
      <c r="C35" t="s">
        <v>11</v>
      </c>
      <c r="D35" t="s">
        <v>12</v>
      </c>
      <c r="E35" t="s">
        <v>21</v>
      </c>
      <c r="F35">
        <v>1</v>
      </c>
      <c r="G35" s="2">
        <v>836</v>
      </c>
      <c r="H35" s="2">
        <v>836</v>
      </c>
      <c r="I35">
        <v>101</v>
      </c>
      <c r="J35">
        <v>19</v>
      </c>
      <c r="K35">
        <f t="shared" si="6"/>
        <v>2</v>
      </c>
      <c r="L35">
        <f t="shared" si="7"/>
        <v>1</v>
      </c>
      <c r="M35">
        <f t="shared" si="8"/>
        <v>1</v>
      </c>
      <c r="N35">
        <f t="shared" si="9"/>
        <v>2</v>
      </c>
      <c r="O35">
        <f t="shared" si="10"/>
        <v>4</v>
      </c>
      <c r="P35" t="str">
        <f t="shared" si="11"/>
        <v>Low-Value</v>
      </c>
    </row>
    <row r="36" spans="1:16" x14ac:dyDescent="0.3">
      <c r="A36" t="s">
        <v>57</v>
      </c>
      <c r="B36">
        <v>24</v>
      </c>
      <c r="C36" t="s">
        <v>11</v>
      </c>
      <c r="D36" t="s">
        <v>23</v>
      </c>
      <c r="E36" t="s">
        <v>18</v>
      </c>
      <c r="F36">
        <v>1</v>
      </c>
      <c r="G36" s="2">
        <v>3304</v>
      </c>
      <c r="H36" s="2">
        <v>3304</v>
      </c>
      <c r="I36">
        <v>131</v>
      </c>
      <c r="J36">
        <v>29</v>
      </c>
      <c r="K36">
        <f t="shared" si="6"/>
        <v>1</v>
      </c>
      <c r="L36">
        <f t="shared" si="7"/>
        <v>1</v>
      </c>
      <c r="M36">
        <f t="shared" si="8"/>
        <v>1</v>
      </c>
      <c r="N36">
        <f t="shared" si="9"/>
        <v>4</v>
      </c>
      <c r="O36">
        <f t="shared" si="10"/>
        <v>3</v>
      </c>
      <c r="P36" t="str">
        <f t="shared" si="11"/>
        <v>Low-Value</v>
      </c>
    </row>
    <row r="37" spans="1:16" x14ac:dyDescent="0.3">
      <c r="A37" t="s">
        <v>58</v>
      </c>
      <c r="B37">
        <v>38</v>
      </c>
      <c r="C37" t="s">
        <v>11</v>
      </c>
      <c r="D37" t="s">
        <v>27</v>
      </c>
      <c r="E37" t="s">
        <v>21</v>
      </c>
      <c r="F37">
        <v>8</v>
      </c>
      <c r="G37" s="2">
        <v>791</v>
      </c>
      <c r="H37" s="2">
        <v>6328</v>
      </c>
      <c r="I37">
        <v>151</v>
      </c>
      <c r="J37">
        <v>43</v>
      </c>
      <c r="K37">
        <f t="shared" si="6"/>
        <v>1</v>
      </c>
      <c r="L37">
        <f t="shared" si="7"/>
        <v>3</v>
      </c>
      <c r="M37">
        <f t="shared" si="8"/>
        <v>1</v>
      </c>
      <c r="N37">
        <f t="shared" si="9"/>
        <v>5</v>
      </c>
      <c r="O37">
        <f t="shared" si="10"/>
        <v>5</v>
      </c>
      <c r="P37" t="str">
        <f t="shared" si="11"/>
        <v>At-Risk</v>
      </c>
    </row>
    <row r="38" spans="1:16" x14ac:dyDescent="0.3">
      <c r="A38" t="s">
        <v>59</v>
      </c>
      <c r="B38">
        <v>26</v>
      </c>
      <c r="C38" t="s">
        <v>11</v>
      </c>
      <c r="D38" t="s">
        <v>23</v>
      </c>
      <c r="E38" t="s">
        <v>13</v>
      </c>
      <c r="F38">
        <v>10</v>
      </c>
      <c r="G38" s="2">
        <v>3787</v>
      </c>
      <c r="H38" s="2">
        <v>37870</v>
      </c>
      <c r="I38">
        <v>57</v>
      </c>
      <c r="J38">
        <v>23</v>
      </c>
      <c r="K38">
        <f t="shared" si="6"/>
        <v>4</v>
      </c>
      <c r="L38">
        <f t="shared" si="7"/>
        <v>4</v>
      </c>
      <c r="M38">
        <f t="shared" si="8"/>
        <v>4</v>
      </c>
      <c r="N38">
        <f t="shared" si="9"/>
        <v>3</v>
      </c>
      <c r="O38">
        <f t="shared" si="10"/>
        <v>12</v>
      </c>
      <c r="P38" t="str">
        <f t="shared" si="11"/>
        <v>VIP</v>
      </c>
    </row>
    <row r="39" spans="1:16" x14ac:dyDescent="0.3">
      <c r="A39" t="s">
        <v>60</v>
      </c>
      <c r="B39">
        <v>56</v>
      </c>
      <c r="C39" t="s">
        <v>17</v>
      </c>
      <c r="D39" t="s">
        <v>15</v>
      </c>
      <c r="E39" t="s">
        <v>24</v>
      </c>
      <c r="F39">
        <v>11</v>
      </c>
      <c r="G39" s="2">
        <v>3325</v>
      </c>
      <c r="H39" s="2">
        <v>36575</v>
      </c>
      <c r="I39">
        <v>8</v>
      </c>
      <c r="J39">
        <v>22</v>
      </c>
      <c r="K39">
        <f t="shared" si="6"/>
        <v>5</v>
      </c>
      <c r="L39">
        <f t="shared" si="7"/>
        <v>4</v>
      </c>
      <c r="M39">
        <f t="shared" si="8"/>
        <v>4</v>
      </c>
      <c r="N39">
        <f t="shared" si="9"/>
        <v>3</v>
      </c>
      <c r="O39">
        <f t="shared" si="10"/>
        <v>13</v>
      </c>
      <c r="P39" t="str">
        <f t="shared" si="11"/>
        <v>VIP</v>
      </c>
    </row>
    <row r="40" spans="1:16" x14ac:dyDescent="0.3">
      <c r="A40" t="s">
        <v>61</v>
      </c>
      <c r="B40">
        <v>35</v>
      </c>
      <c r="C40" t="s">
        <v>11</v>
      </c>
      <c r="D40" t="s">
        <v>27</v>
      </c>
      <c r="E40" t="s">
        <v>13</v>
      </c>
      <c r="F40">
        <v>12</v>
      </c>
      <c r="G40" s="2">
        <v>825</v>
      </c>
      <c r="H40" s="2">
        <v>9900</v>
      </c>
      <c r="I40">
        <v>97</v>
      </c>
      <c r="J40">
        <v>7</v>
      </c>
      <c r="K40">
        <f t="shared" si="6"/>
        <v>2</v>
      </c>
      <c r="L40">
        <f t="shared" si="7"/>
        <v>4</v>
      </c>
      <c r="M40">
        <f t="shared" si="8"/>
        <v>2</v>
      </c>
      <c r="N40">
        <f t="shared" si="9"/>
        <v>1</v>
      </c>
      <c r="O40">
        <f t="shared" si="10"/>
        <v>8</v>
      </c>
      <c r="P40" t="str">
        <f t="shared" si="11"/>
        <v>At-Risk</v>
      </c>
    </row>
    <row r="41" spans="1:16" x14ac:dyDescent="0.3">
      <c r="A41" t="s">
        <v>62</v>
      </c>
      <c r="B41">
        <v>21</v>
      </c>
      <c r="C41" t="s">
        <v>17</v>
      </c>
      <c r="D41" t="s">
        <v>15</v>
      </c>
      <c r="E41" t="s">
        <v>24</v>
      </c>
      <c r="F41">
        <v>13</v>
      </c>
      <c r="G41" s="2">
        <v>839</v>
      </c>
      <c r="H41" s="2">
        <v>10907</v>
      </c>
      <c r="I41">
        <v>135</v>
      </c>
      <c r="J41">
        <v>2</v>
      </c>
      <c r="K41">
        <f t="shared" si="6"/>
        <v>1</v>
      </c>
      <c r="L41">
        <f t="shared" si="7"/>
        <v>5</v>
      </c>
      <c r="M41">
        <f t="shared" si="8"/>
        <v>2</v>
      </c>
      <c r="N41">
        <f t="shared" si="9"/>
        <v>1</v>
      </c>
      <c r="O41">
        <f t="shared" si="10"/>
        <v>8</v>
      </c>
      <c r="P41" t="str">
        <f t="shared" si="11"/>
        <v>At-Risk</v>
      </c>
    </row>
    <row r="42" spans="1:16" x14ac:dyDescent="0.3">
      <c r="A42" t="s">
        <v>63</v>
      </c>
      <c r="B42">
        <v>42</v>
      </c>
      <c r="C42" t="s">
        <v>11</v>
      </c>
      <c r="D42" t="s">
        <v>40</v>
      </c>
      <c r="E42" t="s">
        <v>21</v>
      </c>
      <c r="F42">
        <v>13</v>
      </c>
      <c r="G42" s="2">
        <v>4447</v>
      </c>
      <c r="H42" s="2">
        <v>57811</v>
      </c>
      <c r="I42">
        <v>104</v>
      </c>
      <c r="J42">
        <v>6</v>
      </c>
      <c r="K42">
        <f t="shared" si="6"/>
        <v>2</v>
      </c>
      <c r="L42">
        <f t="shared" si="7"/>
        <v>5</v>
      </c>
      <c r="M42">
        <f t="shared" si="8"/>
        <v>5</v>
      </c>
      <c r="N42">
        <f t="shared" si="9"/>
        <v>1</v>
      </c>
      <c r="O42">
        <f t="shared" si="10"/>
        <v>12</v>
      </c>
      <c r="P42" t="str">
        <f t="shared" si="11"/>
        <v>At-Risk</v>
      </c>
    </row>
    <row r="43" spans="1:16" x14ac:dyDescent="0.3">
      <c r="A43" t="s">
        <v>64</v>
      </c>
      <c r="B43">
        <v>31</v>
      </c>
      <c r="C43" t="s">
        <v>11</v>
      </c>
      <c r="D43" t="s">
        <v>20</v>
      </c>
      <c r="E43" t="s">
        <v>18</v>
      </c>
      <c r="F43">
        <v>12</v>
      </c>
      <c r="G43" s="2">
        <v>1997</v>
      </c>
      <c r="H43" s="2">
        <v>23964</v>
      </c>
      <c r="I43">
        <v>5</v>
      </c>
      <c r="J43">
        <v>42</v>
      </c>
      <c r="K43">
        <f t="shared" si="6"/>
        <v>5</v>
      </c>
      <c r="L43">
        <f t="shared" si="7"/>
        <v>4</v>
      </c>
      <c r="M43">
        <f t="shared" si="8"/>
        <v>3</v>
      </c>
      <c r="N43">
        <f t="shared" si="9"/>
        <v>4</v>
      </c>
      <c r="O43">
        <f t="shared" si="10"/>
        <v>12</v>
      </c>
      <c r="P43" t="str">
        <f t="shared" si="11"/>
        <v>Loyal</v>
      </c>
    </row>
    <row r="44" spans="1:16" x14ac:dyDescent="0.3">
      <c r="A44" t="s">
        <v>65</v>
      </c>
      <c r="B44">
        <v>26</v>
      </c>
      <c r="C44" t="s">
        <v>17</v>
      </c>
      <c r="D44" t="s">
        <v>23</v>
      </c>
      <c r="E44" t="s">
        <v>32</v>
      </c>
      <c r="F44">
        <v>15</v>
      </c>
      <c r="G44" s="2">
        <v>1983</v>
      </c>
      <c r="H44" s="2">
        <v>29745</v>
      </c>
      <c r="I44">
        <v>25</v>
      </c>
      <c r="J44">
        <v>13</v>
      </c>
      <c r="K44">
        <f t="shared" si="6"/>
        <v>5</v>
      </c>
      <c r="L44">
        <f t="shared" si="7"/>
        <v>5</v>
      </c>
      <c r="M44">
        <f t="shared" si="8"/>
        <v>4</v>
      </c>
      <c r="N44">
        <f t="shared" si="9"/>
        <v>2</v>
      </c>
      <c r="O44">
        <f t="shared" si="10"/>
        <v>14</v>
      </c>
      <c r="P44" t="str">
        <f t="shared" si="11"/>
        <v>VIP</v>
      </c>
    </row>
    <row r="45" spans="1:16" x14ac:dyDescent="0.3">
      <c r="A45" t="s">
        <v>66</v>
      </c>
      <c r="B45">
        <v>43</v>
      </c>
      <c r="C45" t="s">
        <v>17</v>
      </c>
      <c r="D45" t="s">
        <v>20</v>
      </c>
      <c r="E45" t="s">
        <v>18</v>
      </c>
      <c r="F45">
        <v>14</v>
      </c>
      <c r="G45" s="2">
        <v>3751</v>
      </c>
      <c r="H45" s="2">
        <v>52514</v>
      </c>
      <c r="I45">
        <v>55</v>
      </c>
      <c r="J45">
        <v>27</v>
      </c>
      <c r="K45">
        <f t="shared" si="6"/>
        <v>4</v>
      </c>
      <c r="L45">
        <f t="shared" si="7"/>
        <v>5</v>
      </c>
      <c r="M45">
        <f t="shared" si="8"/>
        <v>5</v>
      </c>
      <c r="N45">
        <f t="shared" si="9"/>
        <v>3</v>
      </c>
      <c r="O45">
        <f t="shared" si="10"/>
        <v>14</v>
      </c>
      <c r="P45" t="str">
        <f t="shared" si="11"/>
        <v>VIP</v>
      </c>
    </row>
    <row r="46" spans="1:16" x14ac:dyDescent="0.3">
      <c r="A46" t="s">
        <v>67</v>
      </c>
      <c r="B46">
        <v>19</v>
      </c>
      <c r="C46" t="s">
        <v>17</v>
      </c>
      <c r="D46" t="s">
        <v>20</v>
      </c>
      <c r="E46" t="s">
        <v>24</v>
      </c>
      <c r="F46">
        <v>2</v>
      </c>
      <c r="G46" s="2">
        <v>4289</v>
      </c>
      <c r="H46" s="2">
        <v>8578</v>
      </c>
      <c r="I46">
        <v>167</v>
      </c>
      <c r="J46">
        <v>47</v>
      </c>
      <c r="K46">
        <f t="shared" si="6"/>
        <v>1</v>
      </c>
      <c r="L46">
        <f t="shared" si="7"/>
        <v>1</v>
      </c>
      <c r="M46">
        <f t="shared" si="8"/>
        <v>2</v>
      </c>
      <c r="N46">
        <f t="shared" si="9"/>
        <v>5</v>
      </c>
      <c r="O46">
        <f t="shared" si="10"/>
        <v>4</v>
      </c>
      <c r="P46" t="str">
        <f t="shared" si="11"/>
        <v>Low-Value</v>
      </c>
    </row>
    <row r="47" spans="1:16" x14ac:dyDescent="0.3">
      <c r="A47" t="s">
        <v>68</v>
      </c>
      <c r="B47">
        <v>37</v>
      </c>
      <c r="C47" t="s">
        <v>17</v>
      </c>
      <c r="D47" t="s">
        <v>23</v>
      </c>
      <c r="E47" t="s">
        <v>21</v>
      </c>
      <c r="F47">
        <v>13</v>
      </c>
      <c r="G47" s="2">
        <v>4444</v>
      </c>
      <c r="H47" s="2">
        <v>57772</v>
      </c>
      <c r="I47">
        <v>85</v>
      </c>
      <c r="J47">
        <v>35</v>
      </c>
      <c r="K47">
        <f t="shared" si="6"/>
        <v>3</v>
      </c>
      <c r="L47">
        <f t="shared" si="7"/>
        <v>5</v>
      </c>
      <c r="M47">
        <f t="shared" si="8"/>
        <v>5</v>
      </c>
      <c r="N47">
        <f t="shared" si="9"/>
        <v>4</v>
      </c>
      <c r="O47">
        <f t="shared" si="10"/>
        <v>13</v>
      </c>
      <c r="P47" t="str">
        <f t="shared" si="11"/>
        <v>Low-Value</v>
      </c>
    </row>
    <row r="48" spans="1:16" x14ac:dyDescent="0.3">
      <c r="A48" t="s">
        <v>69</v>
      </c>
      <c r="B48">
        <v>45</v>
      </c>
      <c r="C48" t="s">
        <v>11</v>
      </c>
      <c r="D48" t="s">
        <v>27</v>
      </c>
      <c r="E48" t="s">
        <v>24</v>
      </c>
      <c r="F48">
        <v>3</v>
      </c>
      <c r="G48" s="2">
        <v>3514</v>
      </c>
      <c r="H48" s="2">
        <v>10542</v>
      </c>
      <c r="I48">
        <v>147</v>
      </c>
      <c r="J48">
        <v>50</v>
      </c>
      <c r="K48">
        <f t="shared" si="6"/>
        <v>1</v>
      </c>
      <c r="L48">
        <f t="shared" si="7"/>
        <v>1</v>
      </c>
      <c r="M48">
        <f t="shared" si="8"/>
        <v>2</v>
      </c>
      <c r="N48">
        <f t="shared" si="9"/>
        <v>5</v>
      </c>
      <c r="O48">
        <f t="shared" si="10"/>
        <v>4</v>
      </c>
      <c r="P48" t="str">
        <f t="shared" si="11"/>
        <v>Low-Value</v>
      </c>
    </row>
    <row r="49" spans="1:16" x14ac:dyDescent="0.3">
      <c r="A49" t="s">
        <v>70</v>
      </c>
      <c r="B49">
        <v>24</v>
      </c>
      <c r="C49" t="s">
        <v>11</v>
      </c>
      <c r="D49" t="s">
        <v>40</v>
      </c>
      <c r="E49" t="s">
        <v>13</v>
      </c>
      <c r="F49">
        <v>2</v>
      </c>
      <c r="G49" s="2">
        <v>2005</v>
      </c>
      <c r="H49" s="2">
        <v>4010</v>
      </c>
      <c r="I49">
        <v>87</v>
      </c>
      <c r="J49">
        <v>15</v>
      </c>
      <c r="K49">
        <f t="shared" si="6"/>
        <v>3</v>
      </c>
      <c r="L49">
        <f t="shared" si="7"/>
        <v>1</v>
      </c>
      <c r="M49">
        <f t="shared" si="8"/>
        <v>1</v>
      </c>
      <c r="N49">
        <f t="shared" si="9"/>
        <v>2</v>
      </c>
      <c r="O49">
        <f t="shared" si="10"/>
        <v>5</v>
      </c>
      <c r="P49" t="str">
        <f t="shared" si="11"/>
        <v>Low-Value</v>
      </c>
    </row>
    <row r="50" spans="1:16" x14ac:dyDescent="0.3">
      <c r="A50" t="s">
        <v>71</v>
      </c>
      <c r="B50">
        <v>25</v>
      </c>
      <c r="C50" t="s">
        <v>17</v>
      </c>
      <c r="D50" t="s">
        <v>15</v>
      </c>
      <c r="E50" t="s">
        <v>24</v>
      </c>
      <c r="F50">
        <v>3</v>
      </c>
      <c r="G50" s="2">
        <v>834</v>
      </c>
      <c r="H50" s="2">
        <v>2502</v>
      </c>
      <c r="I50">
        <v>80</v>
      </c>
      <c r="J50">
        <v>27</v>
      </c>
      <c r="K50">
        <f t="shared" si="6"/>
        <v>3</v>
      </c>
      <c r="L50">
        <f t="shared" si="7"/>
        <v>1</v>
      </c>
      <c r="M50">
        <f t="shared" si="8"/>
        <v>1</v>
      </c>
      <c r="N50">
        <f t="shared" si="9"/>
        <v>3</v>
      </c>
      <c r="O50">
        <f t="shared" si="10"/>
        <v>5</v>
      </c>
      <c r="P50" t="str">
        <f t="shared" si="11"/>
        <v>Low-Value</v>
      </c>
    </row>
    <row r="51" spans="1:16" x14ac:dyDescent="0.3">
      <c r="A51" t="s">
        <v>72</v>
      </c>
      <c r="B51">
        <v>52</v>
      </c>
      <c r="C51" t="s">
        <v>17</v>
      </c>
      <c r="D51" t="s">
        <v>12</v>
      </c>
      <c r="E51" t="s">
        <v>32</v>
      </c>
      <c r="F51">
        <v>7</v>
      </c>
      <c r="G51" s="2">
        <v>3609</v>
      </c>
      <c r="H51" s="2">
        <v>25263</v>
      </c>
      <c r="I51">
        <v>112</v>
      </c>
      <c r="J51">
        <v>46</v>
      </c>
      <c r="K51">
        <f t="shared" si="6"/>
        <v>2</v>
      </c>
      <c r="L51">
        <f t="shared" si="7"/>
        <v>3</v>
      </c>
      <c r="M51">
        <f t="shared" si="8"/>
        <v>4</v>
      </c>
      <c r="N51">
        <f t="shared" si="9"/>
        <v>5</v>
      </c>
      <c r="O51">
        <f t="shared" si="10"/>
        <v>9</v>
      </c>
      <c r="P51" t="str">
        <f t="shared" si="11"/>
        <v>At-Risk</v>
      </c>
    </row>
    <row r="52" spans="1:16" x14ac:dyDescent="0.3">
      <c r="A52" t="s">
        <v>73</v>
      </c>
      <c r="B52">
        <v>31</v>
      </c>
      <c r="C52" t="s">
        <v>17</v>
      </c>
      <c r="D52" t="s">
        <v>15</v>
      </c>
      <c r="E52" t="s">
        <v>24</v>
      </c>
      <c r="F52">
        <v>1</v>
      </c>
      <c r="G52" s="2">
        <v>2734</v>
      </c>
      <c r="H52" s="2">
        <v>2734</v>
      </c>
      <c r="I52">
        <v>3</v>
      </c>
      <c r="J52">
        <v>28</v>
      </c>
      <c r="K52">
        <f t="shared" si="6"/>
        <v>5</v>
      </c>
      <c r="L52">
        <f t="shared" si="7"/>
        <v>1</v>
      </c>
      <c r="M52">
        <f t="shared" si="8"/>
        <v>1</v>
      </c>
      <c r="N52">
        <f t="shared" si="9"/>
        <v>4</v>
      </c>
      <c r="O52">
        <f t="shared" si="10"/>
        <v>7</v>
      </c>
      <c r="P52" t="str">
        <f t="shared" si="11"/>
        <v>Potential</v>
      </c>
    </row>
    <row r="53" spans="1:16" x14ac:dyDescent="0.3">
      <c r="A53" t="s">
        <v>74</v>
      </c>
      <c r="B53">
        <v>34</v>
      </c>
      <c r="C53" t="s">
        <v>17</v>
      </c>
      <c r="D53" t="s">
        <v>12</v>
      </c>
      <c r="E53" t="s">
        <v>18</v>
      </c>
      <c r="F53">
        <v>10</v>
      </c>
      <c r="G53" s="2">
        <v>2197</v>
      </c>
      <c r="H53" s="2">
        <v>21970</v>
      </c>
      <c r="I53">
        <v>53</v>
      </c>
      <c r="J53">
        <v>10</v>
      </c>
      <c r="K53">
        <f t="shared" si="6"/>
        <v>4</v>
      </c>
      <c r="L53">
        <f t="shared" si="7"/>
        <v>4</v>
      </c>
      <c r="M53">
        <f t="shared" si="8"/>
        <v>3</v>
      </c>
      <c r="N53">
        <f t="shared" si="9"/>
        <v>1</v>
      </c>
      <c r="O53">
        <f t="shared" si="10"/>
        <v>11</v>
      </c>
      <c r="P53" t="str">
        <f t="shared" si="11"/>
        <v>Loyal</v>
      </c>
    </row>
    <row r="54" spans="1:16" x14ac:dyDescent="0.3">
      <c r="A54" t="s">
        <v>75</v>
      </c>
      <c r="B54">
        <v>53</v>
      </c>
      <c r="C54" t="s">
        <v>17</v>
      </c>
      <c r="D54" t="s">
        <v>15</v>
      </c>
      <c r="E54" t="s">
        <v>24</v>
      </c>
      <c r="F54">
        <v>8</v>
      </c>
      <c r="G54" s="2">
        <v>4125</v>
      </c>
      <c r="H54" s="2">
        <v>33000</v>
      </c>
      <c r="I54">
        <v>175</v>
      </c>
      <c r="J54">
        <v>27</v>
      </c>
      <c r="K54">
        <f t="shared" si="6"/>
        <v>1</v>
      </c>
      <c r="L54">
        <f t="shared" si="7"/>
        <v>3</v>
      </c>
      <c r="M54">
        <f t="shared" si="8"/>
        <v>4</v>
      </c>
      <c r="N54">
        <f t="shared" si="9"/>
        <v>3</v>
      </c>
      <c r="O54">
        <f t="shared" si="10"/>
        <v>8</v>
      </c>
      <c r="P54" t="str">
        <f t="shared" si="11"/>
        <v>At-Risk</v>
      </c>
    </row>
    <row r="55" spans="1:16" x14ac:dyDescent="0.3">
      <c r="A55" t="s">
        <v>76</v>
      </c>
      <c r="B55">
        <v>57</v>
      </c>
      <c r="C55" t="s">
        <v>17</v>
      </c>
      <c r="D55" t="s">
        <v>23</v>
      </c>
      <c r="E55" t="s">
        <v>32</v>
      </c>
      <c r="F55">
        <v>13</v>
      </c>
      <c r="G55" s="2">
        <v>945</v>
      </c>
      <c r="H55" s="2">
        <v>12285</v>
      </c>
      <c r="I55">
        <v>6</v>
      </c>
      <c r="J55">
        <v>48</v>
      </c>
      <c r="K55">
        <f t="shared" si="6"/>
        <v>5</v>
      </c>
      <c r="L55">
        <f t="shared" si="7"/>
        <v>5</v>
      </c>
      <c r="M55">
        <f t="shared" si="8"/>
        <v>2</v>
      </c>
      <c r="N55">
        <f t="shared" si="9"/>
        <v>5</v>
      </c>
      <c r="O55">
        <f t="shared" si="10"/>
        <v>12</v>
      </c>
      <c r="P55" t="str">
        <f t="shared" si="11"/>
        <v>Loyal</v>
      </c>
    </row>
    <row r="56" spans="1:16" x14ac:dyDescent="0.3">
      <c r="A56" t="s">
        <v>77</v>
      </c>
      <c r="B56">
        <v>21</v>
      </c>
      <c r="C56" t="s">
        <v>11</v>
      </c>
      <c r="D56" t="s">
        <v>40</v>
      </c>
      <c r="E56" t="s">
        <v>21</v>
      </c>
      <c r="F56">
        <v>10</v>
      </c>
      <c r="G56" s="2">
        <v>2471</v>
      </c>
      <c r="H56" s="2">
        <v>24710</v>
      </c>
      <c r="I56">
        <v>115</v>
      </c>
      <c r="J56">
        <v>23</v>
      </c>
      <c r="K56">
        <f t="shared" si="6"/>
        <v>2</v>
      </c>
      <c r="L56">
        <f t="shared" si="7"/>
        <v>4</v>
      </c>
      <c r="M56">
        <f t="shared" si="8"/>
        <v>3</v>
      </c>
      <c r="N56">
        <f t="shared" si="9"/>
        <v>3</v>
      </c>
      <c r="O56">
        <f t="shared" si="10"/>
        <v>9</v>
      </c>
      <c r="P56" t="str">
        <f t="shared" si="11"/>
        <v>At-Risk</v>
      </c>
    </row>
    <row r="57" spans="1:16" x14ac:dyDescent="0.3">
      <c r="A57" t="s">
        <v>78</v>
      </c>
      <c r="B57">
        <v>19</v>
      </c>
      <c r="C57" t="s">
        <v>17</v>
      </c>
      <c r="D57" t="s">
        <v>12</v>
      </c>
      <c r="E57" t="s">
        <v>24</v>
      </c>
      <c r="F57">
        <v>10</v>
      </c>
      <c r="G57" s="2">
        <v>545</v>
      </c>
      <c r="H57" s="2">
        <v>5450</v>
      </c>
      <c r="I57">
        <v>34</v>
      </c>
      <c r="J57">
        <v>48</v>
      </c>
      <c r="K57">
        <f t="shared" si="6"/>
        <v>4</v>
      </c>
      <c r="L57">
        <f t="shared" si="7"/>
        <v>4</v>
      </c>
      <c r="M57">
        <f t="shared" si="8"/>
        <v>1</v>
      </c>
      <c r="N57">
        <f t="shared" si="9"/>
        <v>5</v>
      </c>
      <c r="O57">
        <f t="shared" si="10"/>
        <v>9</v>
      </c>
      <c r="P57" t="str">
        <f t="shared" si="11"/>
        <v>Loyal</v>
      </c>
    </row>
    <row r="58" spans="1:16" x14ac:dyDescent="0.3">
      <c r="A58" t="s">
        <v>79</v>
      </c>
      <c r="B58">
        <v>23</v>
      </c>
      <c r="C58" t="s">
        <v>17</v>
      </c>
      <c r="D58" t="s">
        <v>27</v>
      </c>
      <c r="E58" t="s">
        <v>32</v>
      </c>
      <c r="F58">
        <v>10</v>
      </c>
      <c r="G58" s="2">
        <v>2375</v>
      </c>
      <c r="H58" s="2">
        <v>23750</v>
      </c>
      <c r="I58">
        <v>36</v>
      </c>
      <c r="J58">
        <v>31</v>
      </c>
      <c r="K58">
        <f t="shared" si="6"/>
        <v>4</v>
      </c>
      <c r="L58">
        <f t="shared" si="7"/>
        <v>4</v>
      </c>
      <c r="M58">
        <f t="shared" si="8"/>
        <v>3</v>
      </c>
      <c r="N58">
        <f t="shared" si="9"/>
        <v>4</v>
      </c>
      <c r="O58">
        <f t="shared" si="10"/>
        <v>11</v>
      </c>
      <c r="P58" t="str">
        <f t="shared" si="11"/>
        <v>Loyal</v>
      </c>
    </row>
    <row r="59" spans="1:16" x14ac:dyDescent="0.3">
      <c r="A59" t="s">
        <v>80</v>
      </c>
      <c r="B59">
        <v>59</v>
      </c>
      <c r="C59" t="s">
        <v>11</v>
      </c>
      <c r="D59" t="s">
        <v>15</v>
      </c>
      <c r="E59" t="s">
        <v>21</v>
      </c>
      <c r="F59">
        <v>14</v>
      </c>
      <c r="G59" s="2">
        <v>725</v>
      </c>
      <c r="H59" s="2">
        <v>10150</v>
      </c>
      <c r="I59">
        <v>94</v>
      </c>
      <c r="J59">
        <v>44</v>
      </c>
      <c r="K59">
        <f t="shared" si="6"/>
        <v>2</v>
      </c>
      <c r="L59">
        <f t="shared" si="7"/>
        <v>5</v>
      </c>
      <c r="M59">
        <f t="shared" si="8"/>
        <v>2</v>
      </c>
      <c r="N59">
        <f t="shared" si="9"/>
        <v>5</v>
      </c>
      <c r="O59">
        <f t="shared" si="10"/>
        <v>9</v>
      </c>
      <c r="P59" t="str">
        <f t="shared" si="11"/>
        <v>At-Risk</v>
      </c>
    </row>
    <row r="60" spans="1:16" x14ac:dyDescent="0.3">
      <c r="A60" t="s">
        <v>81</v>
      </c>
      <c r="B60">
        <v>21</v>
      </c>
      <c r="C60" t="s">
        <v>17</v>
      </c>
      <c r="D60" t="s">
        <v>15</v>
      </c>
      <c r="E60" t="s">
        <v>21</v>
      </c>
      <c r="F60">
        <v>2</v>
      </c>
      <c r="G60" s="2">
        <v>975</v>
      </c>
      <c r="H60" s="2">
        <v>1950</v>
      </c>
      <c r="I60">
        <v>97</v>
      </c>
      <c r="J60">
        <v>49</v>
      </c>
      <c r="K60">
        <f t="shared" si="6"/>
        <v>2</v>
      </c>
      <c r="L60">
        <f t="shared" si="7"/>
        <v>1</v>
      </c>
      <c r="M60">
        <f t="shared" si="8"/>
        <v>1</v>
      </c>
      <c r="N60">
        <f t="shared" si="9"/>
        <v>5</v>
      </c>
      <c r="O60">
        <f t="shared" si="10"/>
        <v>4</v>
      </c>
      <c r="P60" t="str">
        <f t="shared" si="11"/>
        <v>Low-Value</v>
      </c>
    </row>
    <row r="61" spans="1:16" x14ac:dyDescent="0.3">
      <c r="A61" t="s">
        <v>82</v>
      </c>
      <c r="B61">
        <v>46</v>
      </c>
      <c r="C61" t="s">
        <v>11</v>
      </c>
      <c r="D61" t="s">
        <v>12</v>
      </c>
      <c r="E61" t="s">
        <v>18</v>
      </c>
      <c r="F61">
        <v>3</v>
      </c>
      <c r="G61" s="2">
        <v>970</v>
      </c>
      <c r="H61" s="2">
        <v>2910</v>
      </c>
      <c r="I61">
        <v>74</v>
      </c>
      <c r="J61">
        <v>18</v>
      </c>
      <c r="K61">
        <f t="shared" si="6"/>
        <v>3</v>
      </c>
      <c r="L61">
        <f t="shared" si="7"/>
        <v>1</v>
      </c>
      <c r="M61">
        <f t="shared" si="8"/>
        <v>1</v>
      </c>
      <c r="N61">
        <f t="shared" si="9"/>
        <v>2</v>
      </c>
      <c r="O61">
        <f t="shared" si="10"/>
        <v>5</v>
      </c>
      <c r="P61" t="str">
        <f t="shared" si="11"/>
        <v>Low-Value</v>
      </c>
    </row>
    <row r="62" spans="1:16" x14ac:dyDescent="0.3">
      <c r="A62" t="s">
        <v>83</v>
      </c>
      <c r="B62">
        <v>35</v>
      </c>
      <c r="C62" t="s">
        <v>11</v>
      </c>
      <c r="D62" t="s">
        <v>27</v>
      </c>
      <c r="E62" t="s">
        <v>32</v>
      </c>
      <c r="F62">
        <v>9</v>
      </c>
      <c r="G62" s="2">
        <v>3097</v>
      </c>
      <c r="H62" s="2">
        <v>27873</v>
      </c>
      <c r="I62">
        <v>41</v>
      </c>
      <c r="J62">
        <v>27</v>
      </c>
      <c r="K62">
        <f t="shared" si="6"/>
        <v>4</v>
      </c>
      <c r="L62">
        <f t="shared" si="7"/>
        <v>3</v>
      </c>
      <c r="M62">
        <f t="shared" si="8"/>
        <v>4</v>
      </c>
      <c r="N62">
        <f t="shared" si="9"/>
        <v>3</v>
      </c>
      <c r="O62">
        <f t="shared" si="10"/>
        <v>11</v>
      </c>
      <c r="P62" t="str">
        <f t="shared" si="11"/>
        <v>Loyal</v>
      </c>
    </row>
    <row r="63" spans="1:16" x14ac:dyDescent="0.3">
      <c r="A63" t="s">
        <v>84</v>
      </c>
      <c r="B63">
        <v>43</v>
      </c>
      <c r="C63" t="s">
        <v>17</v>
      </c>
      <c r="D63" t="s">
        <v>27</v>
      </c>
      <c r="E63" t="s">
        <v>21</v>
      </c>
      <c r="F63">
        <v>7</v>
      </c>
      <c r="G63" s="2">
        <v>3484</v>
      </c>
      <c r="H63" s="2">
        <v>24388</v>
      </c>
      <c r="I63">
        <v>156</v>
      </c>
      <c r="J63">
        <v>37</v>
      </c>
      <c r="K63">
        <f t="shared" si="6"/>
        <v>1</v>
      </c>
      <c r="L63">
        <f t="shared" si="7"/>
        <v>3</v>
      </c>
      <c r="M63">
        <f t="shared" si="8"/>
        <v>3</v>
      </c>
      <c r="N63">
        <f t="shared" si="9"/>
        <v>4</v>
      </c>
      <c r="O63">
        <f t="shared" si="10"/>
        <v>7</v>
      </c>
      <c r="P63" t="str">
        <f t="shared" si="11"/>
        <v>At-Risk</v>
      </c>
    </row>
    <row r="64" spans="1:16" x14ac:dyDescent="0.3">
      <c r="A64" t="s">
        <v>85</v>
      </c>
      <c r="B64">
        <v>51</v>
      </c>
      <c r="C64" t="s">
        <v>17</v>
      </c>
      <c r="D64" t="s">
        <v>23</v>
      </c>
      <c r="E64" t="s">
        <v>24</v>
      </c>
      <c r="F64">
        <v>4</v>
      </c>
      <c r="G64" s="2">
        <v>2833</v>
      </c>
      <c r="H64" s="2">
        <v>11332</v>
      </c>
      <c r="I64">
        <v>164</v>
      </c>
      <c r="J64">
        <v>2</v>
      </c>
      <c r="K64">
        <f t="shared" si="6"/>
        <v>1</v>
      </c>
      <c r="L64">
        <f t="shared" si="7"/>
        <v>2</v>
      </c>
      <c r="M64">
        <f t="shared" si="8"/>
        <v>2</v>
      </c>
      <c r="N64">
        <f t="shared" si="9"/>
        <v>1</v>
      </c>
      <c r="O64">
        <f t="shared" si="10"/>
        <v>5</v>
      </c>
      <c r="P64" t="str">
        <f t="shared" si="11"/>
        <v>Low-Value</v>
      </c>
    </row>
    <row r="65" spans="1:16" x14ac:dyDescent="0.3">
      <c r="A65" t="s">
        <v>86</v>
      </c>
      <c r="B65">
        <v>27</v>
      </c>
      <c r="C65" t="s">
        <v>17</v>
      </c>
      <c r="D65" t="s">
        <v>23</v>
      </c>
      <c r="E65" t="s">
        <v>24</v>
      </c>
      <c r="F65">
        <v>10</v>
      </c>
      <c r="G65" s="2">
        <v>4349</v>
      </c>
      <c r="H65" s="2">
        <v>43490</v>
      </c>
      <c r="I65">
        <v>120</v>
      </c>
      <c r="J65">
        <v>9</v>
      </c>
      <c r="K65">
        <f t="shared" si="6"/>
        <v>2</v>
      </c>
      <c r="L65">
        <f t="shared" si="7"/>
        <v>4</v>
      </c>
      <c r="M65">
        <f t="shared" si="8"/>
        <v>5</v>
      </c>
      <c r="N65">
        <f t="shared" si="9"/>
        <v>1</v>
      </c>
      <c r="O65">
        <f t="shared" si="10"/>
        <v>11</v>
      </c>
      <c r="P65" t="str">
        <f t="shared" si="11"/>
        <v>At-Risk</v>
      </c>
    </row>
    <row r="66" spans="1:16" x14ac:dyDescent="0.3">
      <c r="A66" t="s">
        <v>87</v>
      </c>
      <c r="B66">
        <v>53</v>
      </c>
      <c r="C66" t="s">
        <v>17</v>
      </c>
      <c r="D66" t="s">
        <v>23</v>
      </c>
      <c r="E66" t="s">
        <v>32</v>
      </c>
      <c r="F66">
        <v>5</v>
      </c>
      <c r="G66" s="2">
        <v>1999</v>
      </c>
      <c r="H66" s="2">
        <v>9995</v>
      </c>
      <c r="I66">
        <v>5</v>
      </c>
      <c r="J66">
        <v>50</v>
      </c>
      <c r="K66">
        <f t="shared" ref="K66:K101" si="12">IF(I66&lt;=30,5,IF(I66&lt;=60,4,IF(I66&lt;=90,3,IF(I66&lt;=120,2,1))))</f>
        <v>5</v>
      </c>
      <c r="L66">
        <f t="shared" ref="L66:L101" si="13">IF(F66&gt;=13,5,IF(F66&gt;=10,4,IF(F66&gt;=7,3,IF(F66&gt;=4,2,1))))</f>
        <v>2</v>
      </c>
      <c r="M66">
        <f t="shared" ref="M66:M101" si="14">IF(H66&gt;=40000,5,IF(H66&gt;=25000,4,IF(H66&gt;=15000,3,IF(H66&gt;=7500,2,1))))</f>
        <v>2</v>
      </c>
      <c r="N66">
        <f t="shared" ref="N66:N101" si="15">IF(J66&gt;=PERCENTILE($J$2:$J$101,0.8),5,IF(J66&gt;=PERCENTILE($J$2:$J$101,0.6),4,IF(J66&gt;=PERCENTILE($J$2:$J$101,0.4),3,IF(J66&gt;=PERCENTILE($J$2:$J$101,0.2),2,1))))</f>
        <v>5</v>
      </c>
      <c r="O66">
        <f t="shared" ref="O66:O101" si="16">K66+L66+M66</f>
        <v>9</v>
      </c>
      <c r="P66" t="str">
        <f t="shared" ref="P66:P101" si="17">IF(AND(K66&gt;=4,L66&gt;=4,M66&gt;=4),"VIP",IF(AND(K66&gt;=4,L66&gt;=3),"Loyal",IF(AND(K66&gt;=4,L66&lt;3),"Potential",IF(AND(K66&lt;=2,L66&gt;=3),"At-Risk","Low-Value"))))</f>
        <v>Potential</v>
      </c>
    </row>
    <row r="67" spans="1:16" x14ac:dyDescent="0.3">
      <c r="A67" t="s">
        <v>88</v>
      </c>
      <c r="B67">
        <v>31</v>
      </c>
      <c r="C67" t="s">
        <v>17</v>
      </c>
      <c r="D67" t="s">
        <v>23</v>
      </c>
      <c r="E67" t="s">
        <v>24</v>
      </c>
      <c r="F67">
        <v>2</v>
      </c>
      <c r="G67" s="2">
        <v>1643</v>
      </c>
      <c r="H67" s="2">
        <v>3286</v>
      </c>
      <c r="I67">
        <v>125</v>
      </c>
      <c r="J67">
        <v>36</v>
      </c>
      <c r="K67">
        <f t="shared" si="12"/>
        <v>1</v>
      </c>
      <c r="L67">
        <f t="shared" si="13"/>
        <v>1</v>
      </c>
      <c r="M67">
        <f t="shared" si="14"/>
        <v>1</v>
      </c>
      <c r="N67">
        <f t="shared" si="15"/>
        <v>4</v>
      </c>
      <c r="O67">
        <f t="shared" si="16"/>
        <v>3</v>
      </c>
      <c r="P67" t="str">
        <f t="shared" si="17"/>
        <v>Low-Value</v>
      </c>
    </row>
    <row r="68" spans="1:16" x14ac:dyDescent="0.3">
      <c r="A68" t="s">
        <v>89</v>
      </c>
      <c r="B68">
        <v>48</v>
      </c>
      <c r="C68" t="s">
        <v>11</v>
      </c>
      <c r="D68" t="s">
        <v>23</v>
      </c>
      <c r="E68" t="s">
        <v>21</v>
      </c>
      <c r="F68">
        <v>13</v>
      </c>
      <c r="G68" s="2">
        <v>3974</v>
      </c>
      <c r="H68" s="2">
        <v>51662</v>
      </c>
      <c r="I68">
        <v>52</v>
      </c>
      <c r="J68">
        <v>16</v>
      </c>
      <c r="K68">
        <f t="shared" si="12"/>
        <v>4</v>
      </c>
      <c r="L68">
        <f t="shared" si="13"/>
        <v>5</v>
      </c>
      <c r="M68">
        <f t="shared" si="14"/>
        <v>5</v>
      </c>
      <c r="N68">
        <f t="shared" si="15"/>
        <v>2</v>
      </c>
      <c r="O68">
        <f t="shared" si="16"/>
        <v>14</v>
      </c>
      <c r="P68" t="str">
        <f t="shared" si="17"/>
        <v>VIP</v>
      </c>
    </row>
    <row r="69" spans="1:16" x14ac:dyDescent="0.3">
      <c r="A69" t="s">
        <v>90</v>
      </c>
      <c r="B69">
        <v>32</v>
      </c>
      <c r="C69" t="s">
        <v>17</v>
      </c>
      <c r="D69" t="s">
        <v>23</v>
      </c>
      <c r="E69" t="s">
        <v>21</v>
      </c>
      <c r="F69">
        <v>11</v>
      </c>
      <c r="G69" s="2">
        <v>1394</v>
      </c>
      <c r="H69" s="2">
        <v>15334</v>
      </c>
      <c r="I69">
        <v>14</v>
      </c>
      <c r="J69">
        <v>48</v>
      </c>
      <c r="K69">
        <f t="shared" si="12"/>
        <v>5</v>
      </c>
      <c r="L69">
        <f t="shared" si="13"/>
        <v>4</v>
      </c>
      <c r="M69">
        <f t="shared" si="14"/>
        <v>3</v>
      </c>
      <c r="N69">
        <f t="shared" si="15"/>
        <v>5</v>
      </c>
      <c r="O69">
        <f t="shared" si="16"/>
        <v>12</v>
      </c>
      <c r="P69" t="str">
        <f t="shared" si="17"/>
        <v>Loyal</v>
      </c>
    </row>
    <row r="70" spans="1:16" x14ac:dyDescent="0.3">
      <c r="A70" t="s">
        <v>91</v>
      </c>
      <c r="B70">
        <v>25</v>
      </c>
      <c r="C70" t="s">
        <v>17</v>
      </c>
      <c r="D70" t="s">
        <v>40</v>
      </c>
      <c r="E70" t="s">
        <v>24</v>
      </c>
      <c r="F70">
        <v>13</v>
      </c>
      <c r="G70" s="2">
        <v>4353</v>
      </c>
      <c r="H70" s="2">
        <v>56589</v>
      </c>
      <c r="I70">
        <v>56</v>
      </c>
      <c r="J70">
        <v>23</v>
      </c>
      <c r="K70">
        <f t="shared" si="12"/>
        <v>4</v>
      </c>
      <c r="L70">
        <f t="shared" si="13"/>
        <v>5</v>
      </c>
      <c r="M70">
        <f t="shared" si="14"/>
        <v>5</v>
      </c>
      <c r="N70">
        <f t="shared" si="15"/>
        <v>3</v>
      </c>
      <c r="O70">
        <f t="shared" si="16"/>
        <v>14</v>
      </c>
      <c r="P70" t="str">
        <f t="shared" si="17"/>
        <v>VIP</v>
      </c>
    </row>
    <row r="71" spans="1:16" x14ac:dyDescent="0.3">
      <c r="A71" t="s">
        <v>92</v>
      </c>
      <c r="B71">
        <v>31</v>
      </c>
      <c r="C71" t="s">
        <v>17</v>
      </c>
      <c r="D71" t="s">
        <v>27</v>
      </c>
      <c r="E71" t="s">
        <v>32</v>
      </c>
      <c r="F71">
        <v>8</v>
      </c>
      <c r="G71" s="2">
        <v>549</v>
      </c>
      <c r="H71" s="2">
        <v>4392</v>
      </c>
      <c r="I71">
        <v>135</v>
      </c>
      <c r="J71">
        <v>15</v>
      </c>
      <c r="K71">
        <f t="shared" si="12"/>
        <v>1</v>
      </c>
      <c r="L71">
        <f t="shared" si="13"/>
        <v>3</v>
      </c>
      <c r="M71">
        <f t="shared" si="14"/>
        <v>1</v>
      </c>
      <c r="N71">
        <f t="shared" si="15"/>
        <v>2</v>
      </c>
      <c r="O71">
        <f t="shared" si="16"/>
        <v>5</v>
      </c>
      <c r="P71" t="str">
        <f t="shared" si="17"/>
        <v>At-Risk</v>
      </c>
    </row>
    <row r="72" spans="1:16" x14ac:dyDescent="0.3">
      <c r="A72" t="s">
        <v>93</v>
      </c>
      <c r="B72">
        <v>40</v>
      </c>
      <c r="C72" t="s">
        <v>11</v>
      </c>
      <c r="D72" t="s">
        <v>23</v>
      </c>
      <c r="E72" t="s">
        <v>21</v>
      </c>
      <c r="F72">
        <v>4</v>
      </c>
      <c r="G72" s="2">
        <v>4380</v>
      </c>
      <c r="H72" s="2">
        <v>17520</v>
      </c>
      <c r="I72">
        <v>59</v>
      </c>
      <c r="J72">
        <v>27</v>
      </c>
      <c r="K72">
        <f t="shared" si="12"/>
        <v>4</v>
      </c>
      <c r="L72">
        <f t="shared" si="13"/>
        <v>2</v>
      </c>
      <c r="M72">
        <f t="shared" si="14"/>
        <v>3</v>
      </c>
      <c r="N72">
        <f t="shared" si="15"/>
        <v>3</v>
      </c>
      <c r="O72">
        <f t="shared" si="16"/>
        <v>9</v>
      </c>
      <c r="P72" t="str">
        <f t="shared" si="17"/>
        <v>Potential</v>
      </c>
    </row>
    <row r="73" spans="1:16" x14ac:dyDescent="0.3">
      <c r="A73" t="s">
        <v>94</v>
      </c>
      <c r="B73">
        <v>57</v>
      </c>
      <c r="C73" t="s">
        <v>17</v>
      </c>
      <c r="D73" t="s">
        <v>27</v>
      </c>
      <c r="E73" t="s">
        <v>18</v>
      </c>
      <c r="F73">
        <v>9</v>
      </c>
      <c r="G73" s="2">
        <v>673</v>
      </c>
      <c r="H73" s="2">
        <v>6057</v>
      </c>
      <c r="I73">
        <v>147</v>
      </c>
      <c r="J73">
        <v>29</v>
      </c>
      <c r="K73">
        <f t="shared" si="12"/>
        <v>1</v>
      </c>
      <c r="L73">
        <f t="shared" si="13"/>
        <v>3</v>
      </c>
      <c r="M73">
        <f t="shared" si="14"/>
        <v>1</v>
      </c>
      <c r="N73">
        <f t="shared" si="15"/>
        <v>4</v>
      </c>
      <c r="O73">
        <f t="shared" si="16"/>
        <v>5</v>
      </c>
      <c r="P73" t="str">
        <f t="shared" si="17"/>
        <v>At-Risk</v>
      </c>
    </row>
    <row r="74" spans="1:16" x14ac:dyDescent="0.3">
      <c r="A74" t="s">
        <v>95</v>
      </c>
      <c r="B74">
        <v>38</v>
      </c>
      <c r="C74" t="s">
        <v>17</v>
      </c>
      <c r="D74" t="s">
        <v>27</v>
      </c>
      <c r="E74" t="s">
        <v>24</v>
      </c>
      <c r="F74">
        <v>5</v>
      </c>
      <c r="G74" s="2">
        <v>4065</v>
      </c>
      <c r="H74" s="2">
        <v>20325</v>
      </c>
      <c r="I74">
        <v>114</v>
      </c>
      <c r="J74">
        <v>24</v>
      </c>
      <c r="K74">
        <f t="shared" si="12"/>
        <v>2</v>
      </c>
      <c r="L74">
        <f t="shared" si="13"/>
        <v>2</v>
      </c>
      <c r="M74">
        <f t="shared" si="14"/>
        <v>3</v>
      </c>
      <c r="N74">
        <f t="shared" si="15"/>
        <v>3</v>
      </c>
      <c r="O74">
        <f t="shared" si="16"/>
        <v>7</v>
      </c>
      <c r="P74" t="str">
        <f t="shared" si="17"/>
        <v>Low-Value</v>
      </c>
    </row>
    <row r="75" spans="1:16" x14ac:dyDescent="0.3">
      <c r="A75" t="s">
        <v>96</v>
      </c>
      <c r="B75">
        <v>33</v>
      </c>
      <c r="C75" t="s">
        <v>17</v>
      </c>
      <c r="D75" t="s">
        <v>20</v>
      </c>
      <c r="E75" t="s">
        <v>21</v>
      </c>
      <c r="F75">
        <v>13</v>
      </c>
      <c r="G75" s="2">
        <v>2611</v>
      </c>
      <c r="H75" s="2">
        <v>33943</v>
      </c>
      <c r="I75">
        <v>49</v>
      </c>
      <c r="J75">
        <v>15</v>
      </c>
      <c r="K75">
        <f t="shared" si="12"/>
        <v>4</v>
      </c>
      <c r="L75">
        <f t="shared" si="13"/>
        <v>5</v>
      </c>
      <c r="M75">
        <f t="shared" si="14"/>
        <v>4</v>
      </c>
      <c r="N75">
        <f t="shared" si="15"/>
        <v>2</v>
      </c>
      <c r="O75">
        <f t="shared" si="16"/>
        <v>13</v>
      </c>
      <c r="P75" t="str">
        <f t="shared" si="17"/>
        <v>VIP</v>
      </c>
    </row>
    <row r="76" spans="1:16" x14ac:dyDescent="0.3">
      <c r="A76" t="s">
        <v>97</v>
      </c>
      <c r="B76">
        <v>35</v>
      </c>
      <c r="C76" t="s">
        <v>11</v>
      </c>
      <c r="D76" t="s">
        <v>40</v>
      </c>
      <c r="E76" t="s">
        <v>21</v>
      </c>
      <c r="F76">
        <v>9</v>
      </c>
      <c r="G76" s="2">
        <v>4472</v>
      </c>
      <c r="H76" s="2">
        <v>40248</v>
      </c>
      <c r="I76">
        <v>153</v>
      </c>
      <c r="J76">
        <v>25</v>
      </c>
      <c r="K76">
        <f t="shared" si="12"/>
        <v>1</v>
      </c>
      <c r="L76">
        <f t="shared" si="13"/>
        <v>3</v>
      </c>
      <c r="M76">
        <f t="shared" si="14"/>
        <v>5</v>
      </c>
      <c r="N76">
        <f t="shared" si="15"/>
        <v>3</v>
      </c>
      <c r="O76">
        <f t="shared" si="16"/>
        <v>9</v>
      </c>
      <c r="P76" t="str">
        <f t="shared" si="17"/>
        <v>At-Risk</v>
      </c>
    </row>
    <row r="77" spans="1:16" x14ac:dyDescent="0.3">
      <c r="A77" t="s">
        <v>98</v>
      </c>
      <c r="B77">
        <v>41</v>
      </c>
      <c r="C77" t="s">
        <v>17</v>
      </c>
      <c r="D77" t="s">
        <v>23</v>
      </c>
      <c r="E77" t="s">
        <v>21</v>
      </c>
      <c r="F77">
        <v>4</v>
      </c>
      <c r="G77" s="2">
        <v>795</v>
      </c>
      <c r="H77" s="2">
        <v>3180</v>
      </c>
      <c r="I77">
        <v>87</v>
      </c>
      <c r="J77">
        <v>3</v>
      </c>
      <c r="K77">
        <f t="shared" si="12"/>
        <v>3</v>
      </c>
      <c r="L77">
        <f t="shared" si="13"/>
        <v>2</v>
      </c>
      <c r="M77">
        <f t="shared" si="14"/>
        <v>1</v>
      </c>
      <c r="N77">
        <f t="shared" si="15"/>
        <v>1</v>
      </c>
      <c r="O77">
        <f t="shared" si="16"/>
        <v>6</v>
      </c>
      <c r="P77" t="str">
        <f t="shared" si="17"/>
        <v>Low-Value</v>
      </c>
    </row>
    <row r="78" spans="1:16" x14ac:dyDescent="0.3">
      <c r="A78" t="s">
        <v>99</v>
      </c>
      <c r="B78">
        <v>43</v>
      </c>
      <c r="C78" t="s">
        <v>11</v>
      </c>
      <c r="D78" t="s">
        <v>15</v>
      </c>
      <c r="E78" t="s">
        <v>18</v>
      </c>
      <c r="F78">
        <v>10</v>
      </c>
      <c r="G78" s="2">
        <v>2715</v>
      </c>
      <c r="H78" s="2">
        <v>27150</v>
      </c>
      <c r="I78">
        <v>144</v>
      </c>
      <c r="J78">
        <v>46</v>
      </c>
      <c r="K78">
        <f t="shared" si="12"/>
        <v>1</v>
      </c>
      <c r="L78">
        <f t="shared" si="13"/>
        <v>4</v>
      </c>
      <c r="M78">
        <f t="shared" si="14"/>
        <v>4</v>
      </c>
      <c r="N78">
        <f t="shared" si="15"/>
        <v>5</v>
      </c>
      <c r="O78">
        <f t="shared" si="16"/>
        <v>9</v>
      </c>
      <c r="P78" t="str">
        <f t="shared" si="17"/>
        <v>At-Risk</v>
      </c>
    </row>
    <row r="79" spans="1:16" x14ac:dyDescent="0.3">
      <c r="A79" t="s">
        <v>100</v>
      </c>
      <c r="B79">
        <v>42</v>
      </c>
      <c r="C79" t="s">
        <v>11</v>
      </c>
      <c r="D79" t="s">
        <v>12</v>
      </c>
      <c r="E79" t="s">
        <v>13</v>
      </c>
      <c r="F79">
        <v>5</v>
      </c>
      <c r="G79" s="2">
        <v>4377</v>
      </c>
      <c r="H79" s="2">
        <v>21885</v>
      </c>
      <c r="I79">
        <v>68</v>
      </c>
      <c r="J79">
        <v>27</v>
      </c>
      <c r="K79">
        <f t="shared" si="12"/>
        <v>3</v>
      </c>
      <c r="L79">
        <f t="shared" si="13"/>
        <v>2</v>
      </c>
      <c r="M79">
        <f t="shared" si="14"/>
        <v>3</v>
      </c>
      <c r="N79">
        <f t="shared" si="15"/>
        <v>3</v>
      </c>
      <c r="O79">
        <f t="shared" si="16"/>
        <v>8</v>
      </c>
      <c r="P79" t="str">
        <f t="shared" si="17"/>
        <v>Low-Value</v>
      </c>
    </row>
    <row r="80" spans="1:16" x14ac:dyDescent="0.3">
      <c r="A80" t="s">
        <v>101</v>
      </c>
      <c r="B80">
        <v>58</v>
      </c>
      <c r="C80" t="s">
        <v>17</v>
      </c>
      <c r="D80" t="s">
        <v>15</v>
      </c>
      <c r="E80" t="s">
        <v>13</v>
      </c>
      <c r="F80">
        <v>9</v>
      </c>
      <c r="G80" s="2">
        <v>2592</v>
      </c>
      <c r="H80" s="2">
        <v>23328</v>
      </c>
      <c r="I80">
        <v>77</v>
      </c>
      <c r="J80">
        <v>15</v>
      </c>
      <c r="K80">
        <f t="shared" si="12"/>
        <v>3</v>
      </c>
      <c r="L80">
        <f t="shared" si="13"/>
        <v>3</v>
      </c>
      <c r="M80">
        <f t="shared" si="14"/>
        <v>3</v>
      </c>
      <c r="N80">
        <f t="shared" si="15"/>
        <v>2</v>
      </c>
      <c r="O80">
        <f t="shared" si="16"/>
        <v>9</v>
      </c>
      <c r="P80" t="str">
        <f t="shared" si="17"/>
        <v>Low-Value</v>
      </c>
    </row>
    <row r="81" spans="1:16" x14ac:dyDescent="0.3">
      <c r="A81" t="s">
        <v>102</v>
      </c>
      <c r="B81">
        <v>46</v>
      </c>
      <c r="C81" t="s">
        <v>11</v>
      </c>
      <c r="D81" t="s">
        <v>40</v>
      </c>
      <c r="E81" t="s">
        <v>13</v>
      </c>
      <c r="F81">
        <v>8</v>
      </c>
      <c r="G81" s="2">
        <v>3018</v>
      </c>
      <c r="H81" s="2">
        <v>24144</v>
      </c>
      <c r="I81">
        <v>105</v>
      </c>
      <c r="J81">
        <v>8</v>
      </c>
      <c r="K81">
        <f t="shared" si="12"/>
        <v>2</v>
      </c>
      <c r="L81">
        <f t="shared" si="13"/>
        <v>3</v>
      </c>
      <c r="M81">
        <f t="shared" si="14"/>
        <v>3</v>
      </c>
      <c r="N81">
        <f t="shared" si="15"/>
        <v>1</v>
      </c>
      <c r="O81">
        <f t="shared" si="16"/>
        <v>8</v>
      </c>
      <c r="P81" t="str">
        <f t="shared" si="17"/>
        <v>At-Risk</v>
      </c>
    </row>
    <row r="82" spans="1:16" x14ac:dyDescent="0.3">
      <c r="A82" t="s">
        <v>103</v>
      </c>
      <c r="B82">
        <v>32</v>
      </c>
      <c r="C82" t="s">
        <v>17</v>
      </c>
      <c r="D82" t="s">
        <v>12</v>
      </c>
      <c r="E82" t="s">
        <v>24</v>
      </c>
      <c r="F82">
        <v>3</v>
      </c>
      <c r="G82" s="2">
        <v>3283</v>
      </c>
      <c r="H82" s="2">
        <v>9849</v>
      </c>
      <c r="I82">
        <v>168</v>
      </c>
      <c r="J82">
        <v>4</v>
      </c>
      <c r="K82">
        <f t="shared" si="12"/>
        <v>1</v>
      </c>
      <c r="L82">
        <f t="shared" si="13"/>
        <v>1</v>
      </c>
      <c r="M82">
        <f t="shared" si="14"/>
        <v>2</v>
      </c>
      <c r="N82">
        <f t="shared" si="15"/>
        <v>1</v>
      </c>
      <c r="O82">
        <f t="shared" si="16"/>
        <v>4</v>
      </c>
      <c r="P82" t="str">
        <f t="shared" si="17"/>
        <v>Low-Value</v>
      </c>
    </row>
    <row r="83" spans="1:16" x14ac:dyDescent="0.3">
      <c r="A83" t="s">
        <v>104</v>
      </c>
      <c r="B83">
        <v>18</v>
      </c>
      <c r="C83" t="s">
        <v>11</v>
      </c>
      <c r="D83" t="s">
        <v>40</v>
      </c>
      <c r="E83" t="s">
        <v>32</v>
      </c>
      <c r="F83">
        <v>1</v>
      </c>
      <c r="G83" s="2">
        <v>2318</v>
      </c>
      <c r="H83" s="2">
        <v>2318</v>
      </c>
      <c r="I83">
        <v>40</v>
      </c>
      <c r="J83">
        <v>48</v>
      </c>
      <c r="K83">
        <f t="shared" si="12"/>
        <v>4</v>
      </c>
      <c r="L83">
        <f t="shared" si="13"/>
        <v>1</v>
      </c>
      <c r="M83">
        <f t="shared" si="14"/>
        <v>1</v>
      </c>
      <c r="N83">
        <f t="shared" si="15"/>
        <v>5</v>
      </c>
      <c r="O83">
        <f t="shared" si="16"/>
        <v>6</v>
      </c>
      <c r="P83" t="str">
        <f t="shared" si="17"/>
        <v>Potential</v>
      </c>
    </row>
    <row r="84" spans="1:16" x14ac:dyDescent="0.3">
      <c r="A84" t="s">
        <v>105</v>
      </c>
      <c r="B84">
        <v>42</v>
      </c>
      <c r="C84" t="s">
        <v>11</v>
      </c>
      <c r="D84" t="s">
        <v>27</v>
      </c>
      <c r="E84" t="s">
        <v>21</v>
      </c>
      <c r="F84">
        <v>3</v>
      </c>
      <c r="G84" s="2">
        <v>3010</v>
      </c>
      <c r="H84" s="2">
        <v>9030</v>
      </c>
      <c r="I84">
        <v>52</v>
      </c>
      <c r="J84">
        <v>24</v>
      </c>
      <c r="K84">
        <f t="shared" si="12"/>
        <v>4</v>
      </c>
      <c r="L84">
        <f t="shared" si="13"/>
        <v>1</v>
      </c>
      <c r="M84">
        <f t="shared" si="14"/>
        <v>2</v>
      </c>
      <c r="N84">
        <f t="shared" si="15"/>
        <v>3</v>
      </c>
      <c r="O84">
        <f t="shared" si="16"/>
        <v>7</v>
      </c>
      <c r="P84" t="str">
        <f t="shared" si="17"/>
        <v>Potential</v>
      </c>
    </row>
    <row r="85" spans="1:16" x14ac:dyDescent="0.3">
      <c r="A85" t="s">
        <v>106</v>
      </c>
      <c r="B85">
        <v>24</v>
      </c>
      <c r="C85" t="s">
        <v>17</v>
      </c>
      <c r="D85" t="s">
        <v>12</v>
      </c>
      <c r="E85" t="s">
        <v>13</v>
      </c>
      <c r="F85">
        <v>4</v>
      </c>
      <c r="G85" s="2">
        <v>2837</v>
      </c>
      <c r="H85" s="2">
        <v>11348</v>
      </c>
      <c r="I85">
        <v>100</v>
      </c>
      <c r="J85">
        <v>47</v>
      </c>
      <c r="K85">
        <f t="shared" si="12"/>
        <v>2</v>
      </c>
      <c r="L85">
        <f t="shared" si="13"/>
        <v>2</v>
      </c>
      <c r="M85">
        <f t="shared" si="14"/>
        <v>2</v>
      </c>
      <c r="N85">
        <f t="shared" si="15"/>
        <v>5</v>
      </c>
      <c r="O85">
        <f t="shared" si="16"/>
        <v>6</v>
      </c>
      <c r="P85" t="str">
        <f t="shared" si="17"/>
        <v>Low-Value</v>
      </c>
    </row>
    <row r="86" spans="1:16" x14ac:dyDescent="0.3">
      <c r="A86" t="s">
        <v>107</v>
      </c>
      <c r="B86">
        <v>26</v>
      </c>
      <c r="C86" t="s">
        <v>17</v>
      </c>
      <c r="D86" t="s">
        <v>27</v>
      </c>
      <c r="E86" t="s">
        <v>21</v>
      </c>
      <c r="F86">
        <v>2</v>
      </c>
      <c r="G86" s="2">
        <v>4105</v>
      </c>
      <c r="H86" s="2">
        <v>8210</v>
      </c>
      <c r="I86">
        <v>84</v>
      </c>
      <c r="J86">
        <v>44</v>
      </c>
      <c r="K86">
        <f t="shared" si="12"/>
        <v>3</v>
      </c>
      <c r="L86">
        <f t="shared" si="13"/>
        <v>1</v>
      </c>
      <c r="M86">
        <f t="shared" si="14"/>
        <v>2</v>
      </c>
      <c r="N86">
        <f t="shared" si="15"/>
        <v>5</v>
      </c>
      <c r="O86">
        <f t="shared" si="16"/>
        <v>6</v>
      </c>
      <c r="P86" t="str">
        <f t="shared" si="17"/>
        <v>Low-Value</v>
      </c>
    </row>
    <row r="87" spans="1:16" x14ac:dyDescent="0.3">
      <c r="A87" t="s">
        <v>108</v>
      </c>
      <c r="B87">
        <v>41</v>
      </c>
      <c r="C87" t="s">
        <v>11</v>
      </c>
      <c r="D87" t="s">
        <v>15</v>
      </c>
      <c r="E87" t="s">
        <v>21</v>
      </c>
      <c r="F87">
        <v>1</v>
      </c>
      <c r="G87" s="2">
        <v>682</v>
      </c>
      <c r="H87" s="2">
        <v>682</v>
      </c>
      <c r="I87">
        <v>32</v>
      </c>
      <c r="J87">
        <v>48</v>
      </c>
      <c r="K87">
        <f t="shared" si="12"/>
        <v>4</v>
      </c>
      <c r="L87">
        <f t="shared" si="13"/>
        <v>1</v>
      </c>
      <c r="M87">
        <f t="shared" si="14"/>
        <v>1</v>
      </c>
      <c r="N87">
        <f t="shared" si="15"/>
        <v>5</v>
      </c>
      <c r="O87">
        <f t="shared" si="16"/>
        <v>6</v>
      </c>
      <c r="P87" t="str">
        <f t="shared" si="17"/>
        <v>Potential</v>
      </c>
    </row>
    <row r="88" spans="1:16" x14ac:dyDescent="0.3">
      <c r="A88" t="s">
        <v>109</v>
      </c>
      <c r="B88">
        <v>18</v>
      </c>
      <c r="C88" t="s">
        <v>17</v>
      </c>
      <c r="D88" t="s">
        <v>15</v>
      </c>
      <c r="E88" t="s">
        <v>24</v>
      </c>
      <c r="F88">
        <v>7</v>
      </c>
      <c r="G88" s="2">
        <v>1624</v>
      </c>
      <c r="H88" s="2">
        <v>11368</v>
      </c>
      <c r="I88">
        <v>81</v>
      </c>
      <c r="J88">
        <v>46</v>
      </c>
      <c r="K88">
        <f t="shared" si="12"/>
        <v>3</v>
      </c>
      <c r="L88">
        <f t="shared" si="13"/>
        <v>3</v>
      </c>
      <c r="M88">
        <f t="shared" si="14"/>
        <v>2</v>
      </c>
      <c r="N88">
        <f t="shared" si="15"/>
        <v>5</v>
      </c>
      <c r="O88">
        <f t="shared" si="16"/>
        <v>8</v>
      </c>
      <c r="P88" t="str">
        <f t="shared" si="17"/>
        <v>Low-Value</v>
      </c>
    </row>
    <row r="89" spans="1:16" x14ac:dyDescent="0.3">
      <c r="A89" t="s">
        <v>110</v>
      </c>
      <c r="B89">
        <v>25</v>
      </c>
      <c r="C89" t="s">
        <v>17</v>
      </c>
      <c r="D89" t="s">
        <v>12</v>
      </c>
      <c r="E89" t="s">
        <v>21</v>
      </c>
      <c r="F89">
        <v>8</v>
      </c>
      <c r="G89" s="2">
        <v>4302</v>
      </c>
      <c r="H89" s="2">
        <v>34416</v>
      </c>
      <c r="I89">
        <v>93</v>
      </c>
      <c r="J89">
        <v>19</v>
      </c>
      <c r="K89">
        <f t="shared" si="12"/>
        <v>2</v>
      </c>
      <c r="L89">
        <f t="shared" si="13"/>
        <v>3</v>
      </c>
      <c r="M89">
        <f t="shared" si="14"/>
        <v>4</v>
      </c>
      <c r="N89">
        <f t="shared" si="15"/>
        <v>2</v>
      </c>
      <c r="O89">
        <f t="shared" si="16"/>
        <v>9</v>
      </c>
      <c r="P89" t="str">
        <f t="shared" si="17"/>
        <v>At-Risk</v>
      </c>
    </row>
    <row r="90" spans="1:16" x14ac:dyDescent="0.3">
      <c r="A90" t="s">
        <v>111</v>
      </c>
      <c r="B90">
        <v>41</v>
      </c>
      <c r="C90" t="s">
        <v>17</v>
      </c>
      <c r="D90" t="s">
        <v>12</v>
      </c>
      <c r="E90" t="s">
        <v>21</v>
      </c>
      <c r="F90">
        <v>7</v>
      </c>
      <c r="G90" s="2">
        <v>4061</v>
      </c>
      <c r="H90" s="2">
        <v>28427</v>
      </c>
      <c r="I90">
        <v>54</v>
      </c>
      <c r="J90">
        <v>39</v>
      </c>
      <c r="K90">
        <f t="shared" si="12"/>
        <v>4</v>
      </c>
      <c r="L90">
        <f t="shared" si="13"/>
        <v>3</v>
      </c>
      <c r="M90">
        <f t="shared" si="14"/>
        <v>4</v>
      </c>
      <c r="N90">
        <f t="shared" si="15"/>
        <v>4</v>
      </c>
      <c r="O90">
        <f t="shared" si="16"/>
        <v>11</v>
      </c>
      <c r="P90" t="str">
        <f t="shared" si="17"/>
        <v>Loyal</v>
      </c>
    </row>
    <row r="91" spans="1:16" x14ac:dyDescent="0.3">
      <c r="A91" t="s">
        <v>112</v>
      </c>
      <c r="B91">
        <v>28</v>
      </c>
      <c r="C91" t="s">
        <v>11</v>
      </c>
      <c r="D91" t="s">
        <v>23</v>
      </c>
      <c r="E91" t="s">
        <v>24</v>
      </c>
      <c r="F91">
        <v>14</v>
      </c>
      <c r="G91" s="2">
        <v>2323</v>
      </c>
      <c r="H91" s="2">
        <v>32522</v>
      </c>
      <c r="I91">
        <v>168</v>
      </c>
      <c r="J91">
        <v>36</v>
      </c>
      <c r="K91">
        <f t="shared" si="12"/>
        <v>1</v>
      </c>
      <c r="L91">
        <f t="shared" si="13"/>
        <v>5</v>
      </c>
      <c r="M91">
        <f t="shared" si="14"/>
        <v>4</v>
      </c>
      <c r="N91">
        <f t="shared" si="15"/>
        <v>4</v>
      </c>
      <c r="O91">
        <f t="shared" si="16"/>
        <v>10</v>
      </c>
      <c r="P91" t="str">
        <f t="shared" si="17"/>
        <v>At-Risk</v>
      </c>
    </row>
    <row r="92" spans="1:16" x14ac:dyDescent="0.3">
      <c r="A92" t="s">
        <v>113</v>
      </c>
      <c r="B92">
        <v>34</v>
      </c>
      <c r="C92" t="s">
        <v>11</v>
      </c>
      <c r="D92" t="s">
        <v>40</v>
      </c>
      <c r="E92" t="s">
        <v>18</v>
      </c>
      <c r="F92">
        <v>5</v>
      </c>
      <c r="G92" s="2">
        <v>2981</v>
      </c>
      <c r="H92" s="2">
        <v>14905</v>
      </c>
      <c r="I92">
        <v>81</v>
      </c>
      <c r="J92">
        <v>16</v>
      </c>
      <c r="K92">
        <f t="shared" si="12"/>
        <v>3</v>
      </c>
      <c r="L92">
        <f t="shared" si="13"/>
        <v>2</v>
      </c>
      <c r="M92">
        <f t="shared" si="14"/>
        <v>2</v>
      </c>
      <c r="N92">
        <f t="shared" si="15"/>
        <v>2</v>
      </c>
      <c r="O92">
        <f t="shared" si="16"/>
        <v>7</v>
      </c>
      <c r="P92" t="str">
        <f t="shared" si="17"/>
        <v>Low-Value</v>
      </c>
    </row>
    <row r="93" spans="1:16" x14ac:dyDescent="0.3">
      <c r="A93" t="s">
        <v>114</v>
      </c>
      <c r="B93">
        <v>25</v>
      </c>
      <c r="C93" t="s">
        <v>17</v>
      </c>
      <c r="D93" t="s">
        <v>23</v>
      </c>
      <c r="E93" t="s">
        <v>21</v>
      </c>
      <c r="F93">
        <v>12</v>
      </c>
      <c r="G93" s="2">
        <v>1610</v>
      </c>
      <c r="H93" s="2">
        <v>19320</v>
      </c>
      <c r="I93">
        <v>32</v>
      </c>
      <c r="J93">
        <v>26</v>
      </c>
      <c r="K93">
        <f t="shared" si="12"/>
        <v>4</v>
      </c>
      <c r="L93">
        <f t="shared" si="13"/>
        <v>4</v>
      </c>
      <c r="M93">
        <f t="shared" si="14"/>
        <v>3</v>
      </c>
      <c r="N93">
        <f t="shared" si="15"/>
        <v>3</v>
      </c>
      <c r="O93">
        <f t="shared" si="16"/>
        <v>11</v>
      </c>
      <c r="P93" t="str">
        <f t="shared" si="17"/>
        <v>Loyal</v>
      </c>
    </row>
    <row r="94" spans="1:16" x14ac:dyDescent="0.3">
      <c r="A94" t="s">
        <v>115</v>
      </c>
      <c r="B94">
        <v>52</v>
      </c>
      <c r="C94" t="s">
        <v>17</v>
      </c>
      <c r="D94" t="s">
        <v>40</v>
      </c>
      <c r="E94" t="s">
        <v>21</v>
      </c>
      <c r="F94">
        <v>1</v>
      </c>
      <c r="G94" s="2">
        <v>1252</v>
      </c>
      <c r="H94" s="2">
        <v>1252</v>
      </c>
      <c r="I94">
        <v>108</v>
      </c>
      <c r="J94">
        <v>38</v>
      </c>
      <c r="K94">
        <f t="shared" si="12"/>
        <v>2</v>
      </c>
      <c r="L94">
        <f t="shared" si="13"/>
        <v>1</v>
      </c>
      <c r="M94">
        <f t="shared" si="14"/>
        <v>1</v>
      </c>
      <c r="N94">
        <f t="shared" si="15"/>
        <v>4</v>
      </c>
      <c r="O94">
        <f t="shared" si="16"/>
        <v>4</v>
      </c>
      <c r="P94" t="str">
        <f t="shared" si="17"/>
        <v>Low-Value</v>
      </c>
    </row>
    <row r="95" spans="1:16" x14ac:dyDescent="0.3">
      <c r="A95" t="s">
        <v>116</v>
      </c>
      <c r="B95">
        <v>52</v>
      </c>
      <c r="C95" t="s">
        <v>17</v>
      </c>
      <c r="D95" t="s">
        <v>23</v>
      </c>
      <c r="E95" t="s">
        <v>32</v>
      </c>
      <c r="F95">
        <v>7</v>
      </c>
      <c r="G95" s="2">
        <v>2355</v>
      </c>
      <c r="H95" s="2">
        <v>16485</v>
      </c>
      <c r="I95">
        <v>53</v>
      </c>
      <c r="J95">
        <v>29</v>
      </c>
      <c r="K95">
        <f t="shared" si="12"/>
        <v>4</v>
      </c>
      <c r="L95">
        <f t="shared" si="13"/>
        <v>3</v>
      </c>
      <c r="M95">
        <f t="shared" si="14"/>
        <v>3</v>
      </c>
      <c r="N95">
        <f t="shared" si="15"/>
        <v>4</v>
      </c>
      <c r="O95">
        <f t="shared" si="16"/>
        <v>10</v>
      </c>
      <c r="P95" t="str">
        <f t="shared" si="17"/>
        <v>Loyal</v>
      </c>
    </row>
    <row r="96" spans="1:16" x14ac:dyDescent="0.3">
      <c r="A96" t="s">
        <v>117</v>
      </c>
      <c r="B96">
        <v>50</v>
      </c>
      <c r="C96" t="s">
        <v>11</v>
      </c>
      <c r="D96" t="s">
        <v>27</v>
      </c>
      <c r="E96" t="s">
        <v>32</v>
      </c>
      <c r="F96">
        <v>13</v>
      </c>
      <c r="G96" s="2">
        <v>1913</v>
      </c>
      <c r="H96" s="2">
        <v>24869</v>
      </c>
      <c r="I96">
        <v>83</v>
      </c>
      <c r="J96">
        <v>11</v>
      </c>
      <c r="K96">
        <f t="shared" si="12"/>
        <v>3</v>
      </c>
      <c r="L96">
        <f t="shared" si="13"/>
        <v>5</v>
      </c>
      <c r="M96">
        <f t="shared" si="14"/>
        <v>3</v>
      </c>
      <c r="N96">
        <f t="shared" si="15"/>
        <v>1</v>
      </c>
      <c r="O96">
        <f t="shared" si="16"/>
        <v>11</v>
      </c>
      <c r="P96" t="str">
        <f t="shared" si="17"/>
        <v>Low-Value</v>
      </c>
    </row>
    <row r="97" spans="1:16" x14ac:dyDescent="0.3">
      <c r="A97" t="s">
        <v>118</v>
      </c>
      <c r="B97">
        <v>22</v>
      </c>
      <c r="C97" t="s">
        <v>17</v>
      </c>
      <c r="D97" t="s">
        <v>12</v>
      </c>
      <c r="E97" t="s">
        <v>24</v>
      </c>
      <c r="F97">
        <v>7</v>
      </c>
      <c r="G97" s="2">
        <v>2835</v>
      </c>
      <c r="H97" s="2">
        <v>19845</v>
      </c>
      <c r="I97">
        <v>135</v>
      </c>
      <c r="J97">
        <v>40</v>
      </c>
      <c r="K97">
        <f t="shared" si="12"/>
        <v>1</v>
      </c>
      <c r="L97">
        <f t="shared" si="13"/>
        <v>3</v>
      </c>
      <c r="M97">
        <f t="shared" si="14"/>
        <v>3</v>
      </c>
      <c r="N97">
        <f t="shared" si="15"/>
        <v>4</v>
      </c>
      <c r="O97">
        <f t="shared" si="16"/>
        <v>7</v>
      </c>
      <c r="P97" t="str">
        <f t="shared" si="17"/>
        <v>At-Risk</v>
      </c>
    </row>
    <row r="98" spans="1:16" x14ac:dyDescent="0.3">
      <c r="A98" t="s">
        <v>119</v>
      </c>
      <c r="B98">
        <v>59</v>
      </c>
      <c r="C98" t="s">
        <v>11</v>
      </c>
      <c r="D98" t="s">
        <v>15</v>
      </c>
      <c r="E98" t="s">
        <v>24</v>
      </c>
      <c r="F98">
        <v>9</v>
      </c>
      <c r="G98" s="2">
        <v>811</v>
      </c>
      <c r="H98" s="2">
        <v>7299</v>
      </c>
      <c r="I98">
        <v>31</v>
      </c>
      <c r="J98">
        <v>18</v>
      </c>
      <c r="K98">
        <f t="shared" si="12"/>
        <v>4</v>
      </c>
      <c r="L98">
        <f t="shared" si="13"/>
        <v>3</v>
      </c>
      <c r="M98">
        <f t="shared" si="14"/>
        <v>1</v>
      </c>
      <c r="N98">
        <f t="shared" si="15"/>
        <v>2</v>
      </c>
      <c r="O98">
        <f t="shared" si="16"/>
        <v>8</v>
      </c>
      <c r="P98" t="str">
        <f t="shared" si="17"/>
        <v>Loyal</v>
      </c>
    </row>
    <row r="99" spans="1:16" x14ac:dyDescent="0.3">
      <c r="A99" t="s">
        <v>120</v>
      </c>
      <c r="B99">
        <v>56</v>
      </c>
      <c r="C99" t="s">
        <v>17</v>
      </c>
      <c r="D99" t="s">
        <v>40</v>
      </c>
      <c r="E99" t="s">
        <v>13</v>
      </c>
      <c r="F99">
        <v>3</v>
      </c>
      <c r="G99" s="2">
        <v>4398</v>
      </c>
      <c r="H99" s="2">
        <v>13194</v>
      </c>
      <c r="I99">
        <v>134</v>
      </c>
      <c r="J99">
        <v>40</v>
      </c>
      <c r="K99">
        <f t="shared" si="12"/>
        <v>1</v>
      </c>
      <c r="L99">
        <f t="shared" si="13"/>
        <v>1</v>
      </c>
      <c r="M99">
        <f t="shared" si="14"/>
        <v>2</v>
      </c>
      <c r="N99">
        <f t="shared" si="15"/>
        <v>4</v>
      </c>
      <c r="O99">
        <f t="shared" si="16"/>
        <v>4</v>
      </c>
      <c r="P99" t="str">
        <f t="shared" si="17"/>
        <v>Low-Value</v>
      </c>
    </row>
    <row r="100" spans="1:16" x14ac:dyDescent="0.3">
      <c r="A100" t="s">
        <v>121</v>
      </c>
      <c r="B100">
        <v>58</v>
      </c>
      <c r="C100" t="s">
        <v>11</v>
      </c>
      <c r="D100" t="s">
        <v>40</v>
      </c>
      <c r="E100" t="s">
        <v>21</v>
      </c>
      <c r="F100">
        <v>9</v>
      </c>
      <c r="G100" s="2">
        <v>4445</v>
      </c>
      <c r="H100" s="2">
        <v>40005</v>
      </c>
      <c r="I100">
        <v>140</v>
      </c>
      <c r="J100">
        <v>23</v>
      </c>
      <c r="K100">
        <f t="shared" si="12"/>
        <v>1</v>
      </c>
      <c r="L100">
        <f t="shared" si="13"/>
        <v>3</v>
      </c>
      <c r="M100">
        <f t="shared" si="14"/>
        <v>5</v>
      </c>
      <c r="N100">
        <f t="shared" si="15"/>
        <v>3</v>
      </c>
      <c r="O100">
        <f t="shared" si="16"/>
        <v>9</v>
      </c>
      <c r="P100" t="str">
        <f t="shared" si="17"/>
        <v>At-Risk</v>
      </c>
    </row>
    <row r="101" spans="1:16" x14ac:dyDescent="0.3">
      <c r="A101" t="s">
        <v>122</v>
      </c>
      <c r="B101">
        <v>45</v>
      </c>
      <c r="C101" t="s">
        <v>17</v>
      </c>
      <c r="D101" t="s">
        <v>15</v>
      </c>
      <c r="E101" t="s">
        <v>18</v>
      </c>
      <c r="F101">
        <v>14</v>
      </c>
      <c r="G101" s="2">
        <v>3293</v>
      </c>
      <c r="H101" s="2">
        <v>46102</v>
      </c>
      <c r="I101">
        <v>147</v>
      </c>
      <c r="J101">
        <v>27</v>
      </c>
      <c r="K101">
        <f t="shared" si="12"/>
        <v>1</v>
      </c>
      <c r="L101">
        <f t="shared" si="13"/>
        <v>5</v>
      </c>
      <c r="M101">
        <f t="shared" si="14"/>
        <v>5</v>
      </c>
      <c r="N101">
        <f t="shared" si="15"/>
        <v>3</v>
      </c>
      <c r="O101">
        <f t="shared" si="16"/>
        <v>11</v>
      </c>
      <c r="P101" t="str">
        <f t="shared" si="17"/>
        <v>At-Risk</v>
      </c>
    </row>
  </sheetData>
  <conditionalFormatting sqref="O2:O1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4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32" customWidth="1"/>
    <col min="2" max="6" width="20" customWidth="1"/>
  </cols>
  <sheetData>
    <row r="1" spans="1:6" ht="23.4" x14ac:dyDescent="0.45">
      <c r="A1" s="11" t="s">
        <v>129</v>
      </c>
      <c r="B1" s="10"/>
      <c r="C1" s="10"/>
      <c r="D1" s="10"/>
      <c r="E1" s="10"/>
      <c r="F1" s="10"/>
    </row>
    <row r="3" spans="1:6" x14ac:dyDescent="0.3">
      <c r="A3" s="3" t="s">
        <v>130</v>
      </c>
      <c r="B3" s="3" t="s">
        <v>131</v>
      </c>
      <c r="C3" s="3"/>
      <c r="D3" s="3"/>
      <c r="E3" s="3"/>
      <c r="F3" s="3"/>
    </row>
    <row r="4" spans="1:6" x14ac:dyDescent="0.3">
      <c r="A4" t="s">
        <v>132</v>
      </c>
      <c r="B4">
        <f>COUNTA(Segmentation!A2:A101)</f>
        <v>100</v>
      </c>
    </row>
    <row r="5" spans="1:6" x14ac:dyDescent="0.3">
      <c r="A5" t="s">
        <v>133</v>
      </c>
      <c r="B5" s="2">
        <f>SUM(Segmentation!H2:H101)</f>
        <v>1924252</v>
      </c>
    </row>
    <row r="6" spans="1:6" x14ac:dyDescent="0.3">
      <c r="A6" t="s">
        <v>134</v>
      </c>
      <c r="B6" s="2">
        <f>AVERAGE(Segmentation!H2:H101)</f>
        <v>19242.52</v>
      </c>
    </row>
    <row r="7" spans="1:6" x14ac:dyDescent="0.3">
      <c r="A7" t="s">
        <v>135</v>
      </c>
      <c r="B7">
        <f>SUM(Segmentation!F2:F101)</f>
        <v>729</v>
      </c>
    </row>
    <row r="8" spans="1:6" x14ac:dyDescent="0.3">
      <c r="A8" t="s">
        <v>136</v>
      </c>
      <c r="B8" s="4">
        <f>AVERAGE(Segmentation!F2:F101)</f>
        <v>7.29</v>
      </c>
    </row>
    <row r="9" spans="1:6" x14ac:dyDescent="0.3">
      <c r="A9" t="s">
        <v>137</v>
      </c>
      <c r="B9">
        <f>AVERAGE(Segmentation!J2:J101)</f>
        <v>25.89</v>
      </c>
    </row>
    <row r="12" spans="1:6" ht="19.8" x14ac:dyDescent="0.4">
      <c r="A12" s="5" t="s">
        <v>138</v>
      </c>
    </row>
    <row r="13" spans="1:6" x14ac:dyDescent="0.3">
      <c r="A13" s="3" t="s">
        <v>139</v>
      </c>
      <c r="B13" s="3" t="s">
        <v>140</v>
      </c>
      <c r="C13" s="3" t="s">
        <v>141</v>
      </c>
      <c r="D13" s="3" t="s">
        <v>142</v>
      </c>
      <c r="E13" s="3" t="s">
        <v>143</v>
      </c>
      <c r="F13" s="3" t="s">
        <v>144</v>
      </c>
    </row>
    <row r="14" spans="1:6" x14ac:dyDescent="0.3">
      <c r="A14" t="s">
        <v>145</v>
      </c>
      <c r="B14">
        <f>COUNTIF(Segmentation!$P$2:$P$101,A14)</f>
        <v>11</v>
      </c>
      <c r="C14" s="2">
        <f>SUMIF(Segmentation!$P$2:$P$101,A14,Segmentation!$H$2:$H$101)</f>
        <v>466300</v>
      </c>
      <c r="D14" s="2">
        <f>IFERROR(C14/B14,0)</f>
        <v>42390.909090909088</v>
      </c>
      <c r="E14">
        <f>IFERROR(AVERAGEIF(Segmentation!$P$2:$P$101,A14,Segmentation!$F$2:$F$101),0)</f>
        <v>12.363636363636363</v>
      </c>
      <c r="F14">
        <f>IFERROR(AVERAGEIF(Segmentation!$P$2:$P$101,A14,Segmentation!$J$2:$J$101),0)</f>
        <v>19.09090909090909</v>
      </c>
    </row>
    <row r="15" spans="1:6" x14ac:dyDescent="0.3">
      <c r="A15" t="s">
        <v>146</v>
      </c>
      <c r="B15">
        <f>COUNTIF(Segmentation!$P$2:$P$101,A15)</f>
        <v>14</v>
      </c>
      <c r="C15" s="2">
        <f>SUMIF(Segmentation!$P$2:$P$101,A15,Segmentation!$H$2:$H$101)</f>
        <v>261159</v>
      </c>
      <c r="D15" s="2">
        <f>IFERROR(C15/B15,0)</f>
        <v>18654.214285714286</v>
      </c>
      <c r="E15">
        <f>IFERROR(AVERAGEIF(Segmentation!$P$2:$P$101,A15,Segmentation!$F$2:$F$101),0)</f>
        <v>9.7142857142857135</v>
      </c>
      <c r="F15">
        <f>IFERROR(AVERAGEIF(Segmentation!$P$2:$P$101,A15,Segmentation!$J$2:$J$101),0)</f>
        <v>35.214285714285715</v>
      </c>
    </row>
    <row r="16" spans="1:6" x14ac:dyDescent="0.3">
      <c r="A16" t="s">
        <v>147</v>
      </c>
      <c r="B16">
        <f>COUNTIF(Segmentation!$P$2:$P$101,A16)</f>
        <v>10</v>
      </c>
      <c r="C16" s="2">
        <f>SUMIF(Segmentation!$P$2:$P$101,A16,Segmentation!$H$2:$H$101)</f>
        <v>64661</v>
      </c>
      <c r="D16" s="2">
        <f>IFERROR(C16/B16,0)</f>
        <v>6466.1</v>
      </c>
      <c r="E16">
        <f>IFERROR(AVERAGEIF(Segmentation!$P$2:$P$101,A16,Segmentation!$F$2:$F$101),0)</f>
        <v>2.6</v>
      </c>
      <c r="F16">
        <f>IFERROR(AVERAGEIF(Segmentation!$P$2:$P$101,A16,Segmentation!$J$2:$J$101),0)</f>
        <v>28.9</v>
      </c>
    </row>
    <row r="17" spans="1:6" x14ac:dyDescent="0.3">
      <c r="A17" t="s">
        <v>148</v>
      </c>
      <c r="B17">
        <f>COUNTIF(Segmentation!$P$2:$P$101,A17)</f>
        <v>27</v>
      </c>
      <c r="C17" s="2">
        <f>SUMIF(Segmentation!$P$2:$P$101,A17,Segmentation!$H$2:$H$101)</f>
        <v>689297</v>
      </c>
      <c r="D17" s="2">
        <f>IFERROR(C17/B17,0)</f>
        <v>25529.518518518518</v>
      </c>
      <c r="E17">
        <f>IFERROR(AVERAGEIF(Segmentation!$P$2:$P$101,A17,Segmentation!$F$2:$F$101),0)</f>
        <v>10.148148148148149</v>
      </c>
      <c r="F17">
        <f>IFERROR(AVERAGEIF(Segmentation!$P$2:$P$101,A17,Segmentation!$J$2:$J$101),0)</f>
        <v>25.148148148148149</v>
      </c>
    </row>
    <row r="18" spans="1:6" x14ac:dyDescent="0.3">
      <c r="A18" t="s">
        <v>149</v>
      </c>
      <c r="B18">
        <f>COUNTIF(Segmentation!$P$2:$P$101,A18)</f>
        <v>38</v>
      </c>
      <c r="C18" s="2">
        <f>SUMIF(Segmentation!$P$2:$P$101,A18,Segmentation!$H$2:$H$101)</f>
        <v>442835</v>
      </c>
      <c r="D18" s="2">
        <f>IFERROR(C18/B18,0)</f>
        <v>11653.552631578947</v>
      </c>
      <c r="E18">
        <f>IFERROR(AVERAGEIF(Segmentation!$P$2:$P$101,A18,Segmentation!$F$2:$F$101),0)</f>
        <v>4.1315789473684212</v>
      </c>
      <c r="F18">
        <f>IFERROR(AVERAGEIF(Segmentation!$P$2:$P$101,A18,Segmentation!$J$2:$J$101),0)</f>
        <v>24.157894736842106</v>
      </c>
    </row>
    <row r="21" spans="1:6" ht="19.8" x14ac:dyDescent="0.4">
      <c r="A21" s="5" t="s">
        <v>150</v>
      </c>
    </row>
    <row r="22" spans="1:6" x14ac:dyDescent="0.3">
      <c r="A22" s="3" t="s">
        <v>151</v>
      </c>
      <c r="B22" s="3" t="s">
        <v>140</v>
      </c>
      <c r="C22" s="3" t="s">
        <v>141</v>
      </c>
    </row>
    <row r="23" spans="1:6" x14ac:dyDescent="0.3">
      <c r="A23" t="s">
        <v>21</v>
      </c>
      <c r="B23">
        <f>COUNTIF(Segmentation!$E$2:$E$101,A23)</f>
        <v>31</v>
      </c>
      <c r="C23" s="2">
        <f>SUMIF(Segmentation!$E$2:$E$101,A23,Segmentation!$H$2:$H$101)</f>
        <v>680162</v>
      </c>
    </row>
    <row r="24" spans="1:6" x14ac:dyDescent="0.3">
      <c r="A24" t="s">
        <v>24</v>
      </c>
      <c r="B24">
        <f>COUNTIF(Segmentation!$E$2:$E$101,A24)</f>
        <v>31</v>
      </c>
      <c r="C24" s="2">
        <f>SUMIF(Segmentation!$E$2:$E$101,A24,Segmentation!$H$2:$H$101)</f>
        <v>546527</v>
      </c>
    </row>
    <row r="25" spans="1:6" x14ac:dyDescent="0.3">
      <c r="A25" t="s">
        <v>13</v>
      </c>
      <c r="B25">
        <f>COUNTIF(Segmentation!$E$2:$E$101,A25)</f>
        <v>14</v>
      </c>
      <c r="C25" s="2">
        <f>SUMIF(Segmentation!$E$2:$E$101,A25,Segmentation!$H$2:$H$101)</f>
        <v>204018</v>
      </c>
    </row>
    <row r="26" spans="1:6" x14ac:dyDescent="0.3">
      <c r="A26" t="s">
        <v>32</v>
      </c>
      <c r="B26">
        <f>COUNTIF(Segmentation!$E$2:$E$101,A26)</f>
        <v>13</v>
      </c>
      <c r="C26" s="2">
        <f>SUMIF(Segmentation!$E$2:$E$101,A26,Segmentation!$H$2:$H$101)</f>
        <v>223519</v>
      </c>
    </row>
    <row r="27" spans="1:6" x14ac:dyDescent="0.3">
      <c r="A27" t="s">
        <v>18</v>
      </c>
      <c r="B27">
        <f>COUNTIF(Segmentation!$E$2:$E$101,A27)</f>
        <v>11</v>
      </c>
      <c r="C27" s="2">
        <f>SUMIF(Segmentation!$E$2:$E$101,A27,Segmentation!$H$2:$H$101)</f>
        <v>270026</v>
      </c>
    </row>
    <row r="29" spans="1:6" ht="19.8" x14ac:dyDescent="0.4">
      <c r="A29" s="5" t="s">
        <v>152</v>
      </c>
    </row>
    <row r="30" spans="1:6" x14ac:dyDescent="0.3">
      <c r="A30" s="9" t="s">
        <v>153</v>
      </c>
      <c r="B30" s="10"/>
      <c r="C30" s="10"/>
      <c r="D30" s="10"/>
      <c r="E30" s="10"/>
      <c r="F30" s="10"/>
    </row>
    <row r="31" spans="1:6" x14ac:dyDescent="0.3">
      <c r="A31" s="9" t="s">
        <v>154</v>
      </c>
      <c r="B31" s="10"/>
      <c r="C31" s="10"/>
      <c r="D31" s="10"/>
      <c r="E31" s="10"/>
      <c r="F31" s="10"/>
    </row>
    <row r="32" spans="1:6" x14ac:dyDescent="0.3">
      <c r="A32" s="9" t="s">
        <v>155</v>
      </c>
      <c r="B32" s="10"/>
      <c r="C32" s="10"/>
      <c r="D32" s="10"/>
      <c r="E32" s="10"/>
      <c r="F32" s="10"/>
    </row>
    <row r="33" spans="1:6" x14ac:dyDescent="0.3">
      <c r="A33" s="9" t="s">
        <v>156</v>
      </c>
      <c r="B33" s="10"/>
      <c r="C33" s="10"/>
      <c r="D33" s="10"/>
      <c r="E33" s="10"/>
      <c r="F33" s="10"/>
    </row>
    <row r="34" spans="1:6" x14ac:dyDescent="0.3">
      <c r="A34" s="9" t="s">
        <v>157</v>
      </c>
      <c r="B34" s="10"/>
      <c r="C34" s="10"/>
      <c r="D34" s="10"/>
      <c r="E34" s="10"/>
      <c r="F34" s="10"/>
    </row>
  </sheetData>
  <mergeCells count="6">
    <mergeCell ref="A33:F33"/>
    <mergeCell ref="A1:F1"/>
    <mergeCell ref="A32:F32"/>
    <mergeCell ref="A31:F31"/>
    <mergeCell ref="A34:F34"/>
    <mergeCell ref="A30:F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/>
  </sheetViews>
  <sheetFormatPr defaultRowHeight="14.4" x14ac:dyDescent="0.3"/>
  <cols>
    <col min="1" max="12" width="15" customWidth="1"/>
  </cols>
  <sheetData>
    <row r="1" spans="1:8" ht="25.8" x14ac:dyDescent="0.5">
      <c r="A1" s="13" t="s">
        <v>158</v>
      </c>
      <c r="B1" s="10"/>
      <c r="C1" s="10"/>
      <c r="D1" s="10"/>
      <c r="E1" s="10"/>
      <c r="F1" s="10"/>
      <c r="G1" s="10"/>
      <c r="H1" s="10"/>
    </row>
    <row r="3" spans="1:8" x14ac:dyDescent="0.3">
      <c r="A3" s="12" t="s">
        <v>159</v>
      </c>
      <c r="B3" s="10"/>
      <c r="D3" s="12" t="s">
        <v>160</v>
      </c>
      <c r="E3" s="10"/>
      <c r="G3" s="12" t="s">
        <v>161</v>
      </c>
      <c r="H3" s="10"/>
    </row>
    <row r="4" spans="1:8" x14ac:dyDescent="0.3">
      <c r="A4" s="10"/>
      <c r="B4" s="10"/>
      <c r="D4" s="10"/>
      <c r="E4" s="10"/>
      <c r="G4" s="10"/>
      <c r="H4" s="10"/>
    </row>
    <row r="5" spans="1:8" ht="23.4" x14ac:dyDescent="0.45">
      <c r="A5" s="7">
        <f>Analysis!B4</f>
        <v>100</v>
      </c>
      <c r="D5" s="8">
        <f>Analysis!B5</f>
        <v>1924252</v>
      </c>
      <c r="G5" s="7">
        <f>Analysis!B7</f>
        <v>729</v>
      </c>
    </row>
  </sheetData>
  <mergeCells count="4">
    <mergeCell ref="G3:H4"/>
    <mergeCell ref="D3:E4"/>
    <mergeCell ref="A3:B4"/>
    <mergeCell ref="A1:H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5"/>
  <sheetViews>
    <sheetView workbookViewId="0"/>
  </sheetViews>
  <sheetFormatPr defaultRowHeight="14.4" x14ac:dyDescent="0.3"/>
  <cols>
    <col min="1" max="1" width="25" customWidth="1"/>
    <col min="2" max="2" width="105" customWidth="1"/>
  </cols>
  <sheetData>
    <row r="1" spans="1:6" x14ac:dyDescent="0.3">
      <c r="A1" s="14" t="s">
        <v>162</v>
      </c>
      <c r="B1" s="15"/>
      <c r="C1" s="15"/>
      <c r="D1" s="15"/>
      <c r="E1" s="15"/>
      <c r="F1" s="15"/>
    </row>
    <row r="2" spans="1:6" x14ac:dyDescent="0.3">
      <c r="A2" t="s">
        <v>163</v>
      </c>
      <c r="B2" s="6" t="s">
        <v>164</v>
      </c>
    </row>
    <row r="3" spans="1:6" x14ac:dyDescent="0.3">
      <c r="A3" t="s">
        <v>165</v>
      </c>
      <c r="B3" s="6" t="s">
        <v>166</v>
      </c>
    </row>
    <row r="4" spans="1:6" x14ac:dyDescent="0.3">
      <c r="A4" t="s">
        <v>167</v>
      </c>
      <c r="B4" s="6" t="s">
        <v>168</v>
      </c>
    </row>
    <row r="5" spans="1:6" x14ac:dyDescent="0.3">
      <c r="A5" t="s">
        <v>169</v>
      </c>
      <c r="B5" s="6" t="s">
        <v>170</v>
      </c>
    </row>
    <row r="6" spans="1:6" x14ac:dyDescent="0.3">
      <c r="A6" t="s">
        <v>123</v>
      </c>
      <c r="B6" s="6" t="s">
        <v>171</v>
      </c>
    </row>
    <row r="7" spans="1:6" x14ac:dyDescent="0.3">
      <c r="A7" t="s">
        <v>124</v>
      </c>
      <c r="B7" s="6" t="s">
        <v>172</v>
      </c>
    </row>
    <row r="8" spans="1:6" x14ac:dyDescent="0.3">
      <c r="A8" t="s">
        <v>125</v>
      </c>
      <c r="B8" s="6" t="s">
        <v>173</v>
      </c>
    </row>
    <row r="9" spans="1:6" x14ac:dyDescent="0.3">
      <c r="A9" t="s">
        <v>126</v>
      </c>
      <c r="B9" s="6" t="s">
        <v>174</v>
      </c>
    </row>
    <row r="10" spans="1:6" x14ac:dyDescent="0.3">
      <c r="A10" t="s">
        <v>145</v>
      </c>
      <c r="B10" s="6" t="s">
        <v>175</v>
      </c>
    </row>
    <row r="11" spans="1:6" x14ac:dyDescent="0.3">
      <c r="A11" t="s">
        <v>146</v>
      </c>
      <c r="B11" s="6" t="s">
        <v>176</v>
      </c>
    </row>
    <row r="12" spans="1:6" x14ac:dyDescent="0.3">
      <c r="A12" t="s">
        <v>147</v>
      </c>
      <c r="B12" s="6" t="s">
        <v>177</v>
      </c>
    </row>
    <row r="13" spans="1:6" x14ac:dyDescent="0.3">
      <c r="A13" t="s">
        <v>148</v>
      </c>
      <c r="B13" s="6" t="s">
        <v>178</v>
      </c>
    </row>
    <row r="14" spans="1:6" x14ac:dyDescent="0.3">
      <c r="A14" t="s">
        <v>149</v>
      </c>
      <c r="B14" s="6" t="s">
        <v>179</v>
      </c>
    </row>
    <row r="15" spans="1:6" x14ac:dyDescent="0.3">
      <c r="A15" t="s">
        <v>180</v>
      </c>
      <c r="B15" s="6" t="s">
        <v>181</v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workbookViewId="0"/>
  </sheetViews>
  <sheetFormatPr defaultRowHeight="14.4" x14ac:dyDescent="0.3"/>
  <cols>
    <col min="1" max="1" width="25" customWidth="1"/>
    <col min="2" max="2" width="105" customWidth="1"/>
  </cols>
  <sheetData>
    <row r="1" spans="1:6" x14ac:dyDescent="0.3">
      <c r="A1" s="14" t="s">
        <v>182</v>
      </c>
      <c r="B1" s="15"/>
      <c r="C1" s="15"/>
      <c r="D1" s="15"/>
      <c r="E1" s="15"/>
      <c r="F1" s="15"/>
    </row>
    <row r="2" spans="1:6" x14ac:dyDescent="0.3">
      <c r="A2" t="s">
        <v>163</v>
      </c>
      <c r="B2" s="6" t="s">
        <v>183</v>
      </c>
    </row>
    <row r="3" spans="1:6" x14ac:dyDescent="0.3">
      <c r="A3" t="s">
        <v>184</v>
      </c>
      <c r="B3" s="6" t="s">
        <v>129</v>
      </c>
    </row>
    <row r="4" spans="1:6" x14ac:dyDescent="0.3">
      <c r="A4" t="s">
        <v>185</v>
      </c>
      <c r="B4" s="6" t="s">
        <v>186</v>
      </c>
    </row>
    <row r="5" spans="1:6" x14ac:dyDescent="0.3">
      <c r="A5" t="s">
        <v>187</v>
      </c>
      <c r="B5" s="6" t="s">
        <v>188</v>
      </c>
    </row>
    <row r="6" spans="1:6" x14ac:dyDescent="0.3">
      <c r="A6" t="s">
        <v>189</v>
      </c>
      <c r="B6" s="6" t="s">
        <v>190</v>
      </c>
    </row>
    <row r="7" spans="1:6" x14ac:dyDescent="0.3">
      <c r="A7" t="s">
        <v>191</v>
      </c>
      <c r="B7" s="6" t="s">
        <v>192</v>
      </c>
    </row>
    <row r="8" spans="1:6" x14ac:dyDescent="0.3">
      <c r="A8" t="s">
        <v>193</v>
      </c>
      <c r="B8" s="6" t="s">
        <v>194</v>
      </c>
    </row>
    <row r="9" spans="1:6" x14ac:dyDescent="0.3">
      <c r="A9" t="s">
        <v>195</v>
      </c>
      <c r="B9" s="6" t="s">
        <v>196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Customer_Data</vt:lpstr>
      <vt:lpstr>Segmentation</vt:lpstr>
      <vt:lpstr>Analysis</vt:lpstr>
      <vt:lpstr>Dashboard</vt:lpstr>
      <vt:lpstr>Methodology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shailesh verma</cp:lastModifiedBy>
  <dcterms:created xsi:type="dcterms:W3CDTF">2026-08-31T06:30:37Z</dcterms:created>
  <dcterms:modified xsi:type="dcterms:W3CDTF">2026-08-31T07:43:27Z</dcterms:modified>
</cp:coreProperties>
</file>